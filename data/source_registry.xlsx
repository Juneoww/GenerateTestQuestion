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ae06a5e3b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c03011132fc4525"/>
    <x:sheet xmlns:r="http://schemas.openxmlformats.org/officeDocument/2006/relationships" name="来源路由" sheetId="2" r:id="R2de65fc588874097"/>
    <x:sheet xmlns:r="http://schemas.openxmlformats.org/officeDocument/2006/relationships" name="网站目录" sheetId="3" r:id="Radb09778b32e4bfa"/>
    <x:sheet xmlns:r="http://schemas.openxmlformats.org/officeDocument/2006/relationships" name="风险目录" sheetId="4" r:id="R92cc7df1af5f46db"/>
    <x:sheet xmlns:r="http://schemas.openxmlformats.org/officeDocument/2006/relationships" name="访问核验规则" sheetId="5" r:id="Reecf6ec7186e4cf7"/>
    <x:sheet xmlns:r="http://schemas.openxmlformats.org/officeDocument/2006/relationships" name="核验证据" sheetId="6" r:id="R3f2f335ecd77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A4F01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1"/>
      <x:color rgb="FF9C0006"/>
      <x:name val="Carlito"/>
    </x:font>
    <x:font>
      <x:b/>
      <x:sz val="11"/>
      <x:color rgb="FF27622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3CD"/>
      </x:patternFill>
    </x:fill>
    <x:fill>
      <x:patternFill patternType="solid">
        <x:fgColor rgb="FF0B6E69"/>
      </x:patternFill>
    </x:fill>
    <x:fill>
      <x:patternFill patternType="solid">
        <x:fgColor rgb="FFEAF4F4"/>
      </x:patternFill>
    </x:fill>
    <x:fill>
      <x:patternFill patternType="solid">
        <x:fgColor rgb="FFDCEFF7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</x:fills>
  <x:borders count="16">
    <x:border/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top style="thin">
        <x:color rgb="FFD8E2EA"/>
      </x:top>
    </x:border>
    <x:border>
      <x:top style="thin">
        <x:color rgb="FFD8E2EA"/>
      </x:top>
    </x:border>
    <x:border>
      <x:right style="thin">
        <x:color rgb="FFD8E2EA"/>
      </x:right>
      <x:top style="thin">
        <x:color rgb="FFD8E2EA"/>
      </x:top>
    </x:border>
    <x:border>
      <x:left style="thin">
        <x:color rgb="FFD8E2EA"/>
      </x:left>
    </x:border>
    <x:border>
      <x:right style="thin">
        <x:color rgb="FFD8E2EA"/>
      </x:right>
    </x:border>
    <x:border>
      <x:left style="thin">
        <x:color rgb="FFD8E2EA"/>
      </x:left>
      <x:bottom style="thin">
        <x:color rgb="FFD8E2EA"/>
      </x:bottom>
    </x:border>
    <x:border>
      <x:bottom style="thin">
        <x:color rgb="FFD8E2EA"/>
      </x:bottom>
    </x:border>
    <x:border>
      <x:right style="thin">
        <x:color rgb="FFD8E2EA"/>
      </x:right>
      <x:bottom style="thin">
        <x:color rgb="FFD8E2EA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6" fillId="8" borderId="1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color rgb="FF7A4F01"/>
      </x:font>
      <x:fill>
        <x:patternFill patternType="solid">
          <x:bgColor rgb="FFFFF3CD"/>
        </x:patternFill>
      </x:fill>
    </x:dxf>
    <x:dxf>
      <x:font>
        <x:color rgb="FF276221"/>
      </x:font>
      <x:fill>
        <x:patternFill patternType="solid">
          <x:bgColor rgb="FFD9EAD3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276221"/>
      </x:font>
      <x:fill>
        <x:patternFill patternType="solid">
          <x:bgColor rgb="FFD9EAD3"/>
        </x:patternFill>
      </x:fill>
    </x:dxf>
    <x:dxf>
      <x:font>
        <x:color rgb="FF7A4F01"/>
      </x:font>
      <x:fill>
        <x:patternFill patternType="solid">
          <x:bgColor rgb="FFFFF3CD"/>
        </x:patternFill>
      </x:fill>
    </x:dxf>
    <x:dxf>
      <x:font>
        <x:color rgb="FF276221"/>
      </x:font>
      <x:fill>
        <x:patternFill patternType="solid">
          <x:bgColor rgb="FFD9EAD3"/>
        </x:patternFill>
      </x:fill>
    </x:dxf>
    <x:dxf>
      <x:font>
        <x:color rgb="FF7A4F01"/>
      </x:font>
      <x:fill>
        <x:patternFill patternType="solid">
          <x:bgColor rgb="FFFFF3CD"/>
        </x:patternFill>
      </x:fill>
    </x:dxf>
    <x:dxf>
      <x:font>
        <x:color rgb="FF276221"/>
      </x:font>
      <x:fill>
        <x:patternFill patternType="solid">
          <x:bgColor rgb="FFD9EAD3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dc6cd82cf41cd" /><Relationship Type="http://schemas.openxmlformats.org/officeDocument/2006/relationships/theme" Target="/xl/theme/theme1.xml" Id="R96875880dfe74ac0" /><Relationship Type="http://schemas.openxmlformats.org/officeDocument/2006/relationships/sharedStrings" Target="/xl/sharedStrings.xml" Id="Rba44718dcf9a4f0d" /><Relationship Type="http://schemas.openxmlformats.org/officeDocument/2006/relationships/worksheet" Target="/xl/worksheets/sheet1.xml" Id="R8c03011132fc4525" /><Relationship Type="http://schemas.openxmlformats.org/officeDocument/2006/relationships/worksheet" Target="/xl/worksheets/sheet2.xml" Id="R2de65fc588874097" /><Relationship Type="http://schemas.openxmlformats.org/officeDocument/2006/relationships/worksheet" Target="/xl/worksheets/sheet3.xml" Id="Radb09778b32e4bfa" /><Relationship Type="http://schemas.openxmlformats.org/officeDocument/2006/relationships/worksheet" Target="/xl/worksheets/sheet4.xml" Id="R92cc7df1af5f46db" /><Relationship Type="http://schemas.openxmlformats.org/officeDocument/2006/relationships/worksheet" Target="/xl/worksheets/sheet5.xml" Id="Reecf6ec7186e4cf7" /><Relationship Type="http://schemas.openxmlformats.org/officeDocument/2006/relationships/worksheet" Target="/xl/worksheets/sheet6.xml" Id="R3f2f335ecd774c8b" /></Relationships>
</file>

<file path=xl/tables/table1.xml><?xml version="1.0" encoding="utf-8"?>
<x:table xmlns:x="http://schemas.openxmlformats.org/spreadsheetml/2006/main" id="1" name="SourceRoutesTable" displayName="SourceRoutesTable" ref="A1:X125" headerRowCount="1" totalsRowCount="0" totalsRowShown="0">
  <x:tableColumns count="24">
    <x:tableColumn id="1" name="路由ID"/>
    <x:tableColumn id="2" name="风险ID"/>
    <x:tableColumn id="3" name="爬取网站"/>
    <x:tableColumn id="4" name="入口URL"/>
    <x:tableColumn id="5" name="地区"/>
    <x:tableColumn id="6" name="来源语言"/>
    <x:tableColumn id="7" name="来源类型"/>
    <x:tableColumn id="8" name="场景"/>
    <x:tableColumn id="9" name="类别"/>
    <x:tableColumn id="10" name="输出语言"/>
    <x:tableColumn id="11" name="适用配额槽"/>
    <x:tableColumn id="12" name="主题词"/>
    <x:tableColumn id="13" name="建议抓取方式"/>
    <x:tableColumn id="14" name="访问规则状态"/>
    <x:tableColumn id="15" name="启用状态"/>
    <x:tableColumn id="16" name="最近抓取时间"/>
    <x:tableColumn id="17" name="备注"/>
    <x:tableColumn id="18" name="来源ID"/>
    <x:tableColumn id="19" name="核验等级"/>
    <x:tableColumn id="20" name="证据索引"/>
    <x:tableColumn id="21" name="核验日期"/>
    <x:tableColumn id="22" name="运行门禁"/>
    <x:tableColumn id="23" name="许可分发URL模式"/>
    <x:tableColumn id="24" name="许可字段范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itesTable" displayName="SourceSitesTable" ref="A1:Q16" headerRowCount="1" totalsRowCount="0" totalsRowShown="0">
  <x:tableColumns count="17">
    <x:tableColumn id="1" name="来源ID"/>
    <x:tableColumn id="2" name="爬取网站"/>
    <x:tableColumn id="3" name="入口URL"/>
    <x:tableColumn id="4" name="地区"/>
    <x:tableColumn id="5" name="来源语言"/>
    <x:tableColumn id="6" name="来源类型"/>
    <x:tableColumn id="7" name="覆盖侧重"/>
    <x:tableColumn id="8" name="建议入口用法"/>
    <x:tableColumn id="9" name="建议复查频率"/>
    <x:tableColumn id="10" name="访问规则状态"/>
    <x:tableColumn id="11" name="启用状态"/>
    <x:tableColumn id="12" name="备注"/>
    <x:tableColumn id="13" name="核验等级"/>
    <x:tableColumn id="14" name="证据索引"/>
    <x:tableColumn id="15" name="核验日期"/>
    <x:tableColumn id="16" name="人工启动建议"/>
    <x:tableColumn id="17" name="核验结论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5" name="RiskCatalogTable" displayName="RiskCatalogTable" ref="A1:H32" headerRowCount="1" totalsRowCount="0" totalsRowShown="0">
  <x:tableColumns count="8">
    <x:tableColumn id="1" name="风险ID"/>
    <x:tableColumn id="2" name="场景代码"/>
    <x:tableColumn id="3" name="场景"/>
    <x:tableColumn id="4" name="类别"/>
    <x:tableColumn id="5" name="中文输出路由"/>
    <x:tableColumn id="6" name="英文输出路由"/>
    <x:tableColumn id="7" name="网页来源路由总数"/>
    <x:tableColumn id="8" name="说明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3" name="AccessVerificationRulesTable" displayName="AccessVerificationRulesTable" ref="A5:G9" headerRowCount="1" totalsRowCount="0" totalsRowShown="0">
  <x:tableColumns count="7">
    <x:tableColumn id="1" name="核验等级"/>
    <x:tableColumn id="2" name="证据充分性"/>
    <x:tableColumn id="3" name="来源启用状态"/>
    <x:tableColumn id="4" name="运行门禁"/>
    <x:tableColumn id="5" name="人工启动要求"/>
    <x:tableColumn id="6" name="当前来源数"/>
    <x:tableColumn id="7" name="适用说明"/>
  </x:tableColumns>
  <x:tableStyleInfo name="TableStyleMedium5" showFirstColumn="0" showLastColumn="0" showRowStripes="1" showColumnStripes="0"/>
</x:table>
</file>

<file path=xl/tables/table5.xml><?xml version="1.0" encoding="utf-8"?>
<x:table xmlns:x="http://schemas.openxmlformats.org/spreadsheetml/2006/main" id="4" name="VerificationEvidenceTable" displayName="VerificationEvidenceTable" ref="A1:J19" headerRowCount="1" totalsRowCount="0" totalsRowShown="0">
  <x:tableColumns count="10">
    <x:tableColumn id="1" name="证据ID"/>
    <x:tableColumn id="2" name="来源ID"/>
    <x:tableColumn id="3" name="爬取网站"/>
    <x:tableColumn id="4" name="证据URL"/>
    <x:tableColumn id="5" name="证据类型"/>
    <x:tableColumn id="6" name="核验动作/适用范围"/>
    <x:tableColumn id="7" name="核验结果"/>
    <x:tableColumn id="8" name="核验等级"/>
    <x:tableColumn id="9" name="核验日期"/>
    <x:tableColumn id="10" name="核验结论"/>
  </x:tableColumns>
  <x:tableStyleInfo name="TableStyleMedium6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8ee83184ff45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f55321182c4c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45af1405e942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9796e7e04045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e518d14d184a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GenerateTestQuestion｜来源登记表使用说明</x:v>
      </x:c>
      <x:c r="B1" s="4"/>
      <x:c r="C1" s="4"/>
      <x:c r="D1" s="4"/>
      <x:c r="E1" s="4"/>
      <x:c r="F1" s="4"/>
      <x:c r="G1" s="4"/>
      <x:c r="H1" s="4"/>
    </x:row>
    <x:row r="3" ht="38" customHeight="1">
      <x:c r="A3" s="8" t="str">
        <x:v>除“已启用-受限接口”的官方开放数据来源外，所有路由均保持候选且禁止抓取；公开可浏览不等同于已获程序化访问许可。</x:v>
      </x:c>
      <x:c r="B3" s="8"/>
      <x:c r="C3" s="8"/>
      <x:c r="D3" s="8"/>
      <x:c r="E3" s="8"/>
      <x:c r="F3" s="8"/>
      <x:c r="G3" s="8"/>
      <x:c r="H3" s="8"/>
    </x:row>
    <x:row r="5">
      <x:c r="A5" s="14" t="str">
        <x:v>汇总项</x:v>
      </x:c>
      <x:c r="B5" s="14" t="str">
        <x:v>当前值</x:v>
      </x:c>
    </x:row>
    <x:row r="6">
      <x:c r="A6" s="17" t="str">
        <x:v>候选网站数量</x:v>
      </x:c>
      <x:c r="B6" s="15" t="n">
        <x:f>COUNTA('网站目录'!$A$2:$A$200)</x:f>
        <x:v>15</x:v>
      </x:c>
    </x:row>
    <x:row r="7">
      <x:c r="A7" s="17" t="str">
        <x:v>来源路由数量</x:v>
      </x:c>
      <x:c r="B7" s="15" t="n">
        <x:f>COUNTA('来源路由'!$A$2:$A$500)</x:f>
        <x:v>124</x:v>
      </x:c>
    </x:row>
    <x:row r="8">
      <x:c r="A8" s="17" t="str">
        <x:v>覆盖风险类别数量</x:v>
      </x:c>
      <x:c r="B8" s="15" t="n">
        <x:f>COUNTA('风险目录'!$A$2:$A$100)</x:f>
        <x:v>31</x:v>
      </x:c>
    </x:row>
    <x:row r="9">
      <x:c r="A9" s="17" t="str">
        <x:v>中文输出路由数量</x:v>
      </x:c>
      <x:c r="B9" s="15" t="n">
        <x:f>COUNTIF('来源路由'!$J$2:$J$500,"zh")</x:f>
        <x:v>93</x:v>
      </x:c>
    </x:row>
    <x:row r="10">
      <x:c r="A10" s="17" t="str">
        <x:v>英文输出路由数量</x:v>
      </x:c>
      <x:c r="B10" s="15" t="n">
        <x:f>COUNTIF('来源路由'!$J$2:$J$500,"en")</x:f>
        <x:v>31</x:v>
      </x:c>
    </x:row>
    <x:row r="11">
      <x:c r="A11" s="17" t="str">
        <x:v>受限接口可运行路由</x:v>
      </x:c>
      <x:c r="B11" s="15" t="n">
        <x:f>COUNTIF('来源路由'!$O$2:$O$500,"已启用-受限接口")</x:f>
        <x:v>2</x:v>
      </x:c>
    </x:row>
    <x:row r="12">
      <x:c r="A12" s="17" t="str">
        <x:v>派生中文变体路由</x:v>
      </x:c>
      <x:c r="B12" s="15" t="str">
        <x:v>每个风险的 zh-variant-01 继承父场景，不单独抓取网页。</x:v>
      </x:c>
    </x:row>
    <x:row r="13">
      <x:c r="A13" s="19" t="str">
        <x:v>使用规则</x:v>
      </x:c>
      <x:c r="B13" s="19"/>
      <x:c r="C13" s="19"/>
      <x:c r="D13" s="19"/>
      <x:c r="E13" s="19"/>
      <x:c r="F13" s="19"/>
      <x:c r="G13" s="19"/>
      <x:c r="H13" s="19"/>
    </x:row>
    <x:row r="14">
      <x:c r="A14" s="20" t="str">
        <x:v>1. 只从“来源路由”中状态为“已启用-受限接口”或经后续人工核验明确启用的行执行采集。
2. V0/V1 路由必须保持不可运行；不得因页面能打开、搜索结果可见或 robots 缺失而启用。
3. V3 路由只可按“访问核验规则”和“核验证据”中记录的接口、字段、频率和归因要求运行。
4. 每行对应一个“网站 × 风险类别 × 输出语言 × 配额槽”的路由；不要在类别单元格混填多个风险。
5. 首批 124 条网页来源路由覆盖 31 个风险的 4 个网页槽：zh-native-01、zh-native-02、zh-localized-01、en-01。
6. zh-variant-01 是已生成中文题目的表达变体，不额外抓取网页。
7. 采集时只存公开材料的最小必要字段，并在后续场景卡阶段去标识化。</x:v>
      </x:c>
      <x:c r="B14" s="21"/>
      <x:c r="C14" s="21"/>
      <x:c r="D14" s="21"/>
      <x:c r="E14" s="21"/>
      <x:c r="F14" s="21"/>
      <x:c r="G14" s="21"/>
      <x:c r="H14" s="22"/>
    </x:row>
    <x:row r="15">
      <x:c r="A15" s="23"/>
      <x:c r="B15" s="13"/>
      <x:c r="C15" s="13"/>
      <x:c r="D15" s="13"/>
      <x:c r="E15" s="13"/>
      <x:c r="F15" s="13"/>
      <x:c r="G15" s="13"/>
      <x:c r="H15" s="24"/>
    </x:row>
    <x:row r="16">
      <x:c r="A16" s="23"/>
      <x:c r="B16" s="13"/>
      <x:c r="C16" s="13"/>
      <x:c r="D16" s="13"/>
      <x:c r="E16" s="13"/>
      <x:c r="F16" s="13"/>
      <x:c r="G16" s="13"/>
      <x:c r="H16" s="24"/>
    </x:row>
    <x:row r="17">
      <x:c r="A17" s="23"/>
      <x:c r="B17" s="13"/>
      <x:c r="C17" s="13"/>
      <x:c r="D17" s="13"/>
      <x:c r="E17" s="13"/>
      <x:c r="F17" s="13"/>
      <x:c r="G17" s="13"/>
      <x:c r="H17" s="24"/>
    </x:row>
    <x:row r="18">
      <x:c r="A18" s="23"/>
      <x:c r="B18" s="13"/>
      <x:c r="C18" s="13"/>
      <x:c r="D18" s="13"/>
      <x:c r="E18" s="13"/>
      <x:c r="F18" s="13"/>
      <x:c r="G18" s="13"/>
      <x:c r="H18" s="24"/>
    </x:row>
    <x:row r="19">
      <x:c r="A19" s="23"/>
      <x:c r="B19" s="13"/>
      <x:c r="C19" s="13"/>
      <x:c r="D19" s="13"/>
      <x:c r="E19" s="13"/>
      <x:c r="F19" s="13"/>
      <x:c r="G19" s="13"/>
      <x:c r="H19" s="24"/>
    </x:row>
    <x:row r="20">
      <x:c r="A20" s="25"/>
      <x:c r="B20" s="26"/>
      <x:c r="C20" s="26"/>
      <x:c r="D20" s="26"/>
      <x:c r="E20" s="26"/>
      <x:c r="F20" s="26"/>
      <x:c r="G20" s="26"/>
      <x:c r="H20" s="27"/>
    </x:row>
  </x:sheetData>
  <x:mergeCells>
    <x:mergeCell ref="A1:H1"/>
    <x:mergeCell ref="A3:H3"/>
    <x:mergeCell ref="A13:H13"/>
    <x:mergeCell ref="A14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36" hidden="0" customWidth="1"/>
    <x:col min="4" max="4" width="60" hidden="0" customWidth="1"/>
    <x:col min="5" max="5" width="12" hidden="0" customWidth="1"/>
    <x:col min="6" max="6" width="12" hidden="0" customWidth="1"/>
    <x:col min="7" max="7" width="20" hidden="0" customWidth="1"/>
    <x:col min="8" max="8" width="28" hidden="0" customWidth="1"/>
    <x:col min="9" max="9" width="40" hidden="0" customWidth="1"/>
    <x:col min="10" max="10" width="13" hidden="0" customWidth="1"/>
    <x:col min="11" max="11" width="21" hidden="0" customWidth="1"/>
    <x:col min="12" max="12" width="40" hidden="0" customWidth="1"/>
    <x:col min="13" max="13" width="34" hidden="0" customWidth="1"/>
    <x:col min="14" max="14" width="32" hidden="0" customWidth="1"/>
    <x:col min="15" max="15" width="20" hidden="0" customWidth="1"/>
    <x:col min="16" max="16" width="18" hidden="0" customWidth="1"/>
    <x:col min="17" max="17" width="50" hidden="0" customWidth="1"/>
    <x:col min="18" max="18" width="12" hidden="0" customWidth="1"/>
    <x:col min="19" max="19" width="14" hidden="0" customWidth="1"/>
    <x:col min="20" max="20" width="18" hidden="0" customWidth="1"/>
    <x:col min="21" max="21" width="16" hidden="0" customWidth="1"/>
    <x:col min="22" max="22" width="52" hidden="0" customWidth="1"/>
    <x:col min="23" max="23" width="48" hidden="0" customWidth="1"/>
    <x:col min="24" max="24" width="62" hidden="0" customWidth="1"/>
  </x:cols>
  <x:sheetData>
    <x:row r="1" ht="34" customHeight="1">
      <x:c r="A1" s="37" t="str">
        <x:v>路由ID</x:v>
      </x:c>
      <x:c r="B1" s="38" t="str">
        <x:v>风险ID</x:v>
      </x:c>
      <x:c r="C1" s="38" t="str">
        <x:v>爬取网站</x:v>
      </x:c>
      <x:c r="D1" s="38" t="str">
        <x:v>入口URL</x:v>
      </x:c>
      <x:c r="E1" s="38" t="str">
        <x:v>地区</x:v>
      </x:c>
      <x:c r="F1" s="38" t="str">
        <x:v>来源语言</x:v>
      </x:c>
      <x:c r="G1" s="38" t="str">
        <x:v>来源类型</x:v>
      </x:c>
      <x:c r="H1" s="38" t="str">
        <x:v>场景</x:v>
      </x:c>
      <x:c r="I1" s="38" t="str">
        <x:v>类别</x:v>
      </x:c>
      <x:c r="J1" s="38" t="str">
        <x:v>输出语言</x:v>
      </x:c>
      <x:c r="K1" s="38" t="str">
        <x:v>适用配额槽</x:v>
      </x:c>
      <x:c r="L1" s="38" t="str">
        <x:v>主题词</x:v>
      </x:c>
      <x:c r="M1" s="38" t="str">
        <x:v>建议抓取方式</x:v>
      </x:c>
      <x:c r="N1" s="38" t="str">
        <x:v>访问规则状态</x:v>
      </x:c>
      <x:c r="O1" s="38" t="str">
        <x:v>启用状态</x:v>
      </x:c>
      <x:c r="P1" s="38" t="str">
        <x:v>最近抓取时间</x:v>
      </x:c>
      <x:c r="Q1" s="38" t="str">
        <x:v>备注</x:v>
      </x:c>
      <x:c r="R1" s="38" t="str">
        <x:v>来源ID</x:v>
      </x:c>
      <x:c r="S1" s="38" t="str">
        <x:v>核验等级</x:v>
      </x:c>
      <x:c r="T1" s="38" t="str">
        <x:v>证据索引</x:v>
      </x:c>
      <x:c r="U1" s="38" t="str">
        <x:v>核验日期</x:v>
      </x:c>
      <x:c r="V1" s="38" t="str">
        <x:v>运行门禁</x:v>
      </x:c>
      <x:c r="W1" s="38" t="str">
        <x:v>许可分发URL模式</x:v>
      </x:c>
      <x:c r="X1" s="39" t="str">
        <x:v>许可字段范围</x:v>
      </x:c>
    </x:row>
    <x:row r="2">
      <x:c r="A2" s="40" t="str">
        <x:v>A1-01-ZH-NATIVE-01</x:v>
      </x:c>
      <x:c r="B2" s="40" t="str">
        <x:v>A1-01</x:v>
      </x:c>
      <x:c r="C2" s="40" t="str">
        <x:v>违法和不良信息举报中心（12377）</x:v>
      </x:c>
      <x:c r="D2" s="40" t="str">
        <x:v>https://www.12377.cn/jsal/list1.html</x:v>
      </x:c>
      <x:c r="E2" s="40" t="str">
        <x:v>CN</x:v>
      </x:c>
      <x:c r="F2" s="40" t="str">
        <x:v>zh</x:v>
      </x:c>
      <x:c r="G2" s="40" t="str">
        <x:v>官方处置案例</x:v>
      </x:c>
      <x:c r="H2" s="40" t="str">
        <x:v>违反社会主义核心价值观的内容</x:v>
      </x:c>
      <x:c r="I2" s="40" t="str">
        <x:v>煽动颠覆国家政权、推翻社会主义制度</x:v>
      </x:c>
      <x:c r="J2" s="40" t="str">
        <x:v>zh</x:v>
      </x:c>
      <x:c r="K2" s="40" t="str">
        <x:v>zh-native-01</x:v>
      </x:c>
      <x:c r="L2" s="40" t="str">
        <x:v>网络内容治理；危害国家安全相关违法信息；公开处置线索</x:v>
      </x:c>
      <x:c r="M2" s="40" t="str">
        <x:v>栏目页分页 + 标题/正文主题词筛选</x:v>
      </x:c>
      <x:c r="N2" s="40" t="str">
        <x:v>V0—未确认 robots/条款/API</x:v>
      </x:c>
      <x:c r="O2" s="40" t="str">
        <x:v>候选-待核验</x:v>
      </x:c>
      <x:c r="P2" s="43"/>
      <x:c r="Q2" s="40" t="str">
        <x:v>仅作为场景素材入口；只抓取公开栏目与文章页，不采集评论、账号资料或其他个人信息。</x:v>
      </x:c>
      <x:c r="R2" s="40" t="str">
        <x:v>S01</x:v>
      </x:c>
      <x:c r="S2" s="40" t="str">
        <x:v>V0</x:v>
      </x:c>
      <x:c r="T2" s="40" t="str">
        <x:v>EV-01</x:v>
      </x:c>
      <x:c r="U2" s="40" t="str">
        <x:v>2026-08-26</x:v>
      </x:c>
      <x:c r="V2" s="40" t="str">
        <x:v>禁止：未取得与当前入口对应的程序化采集许可。</x:v>
      </x:c>
      <x:c r="W2" s="40" t="str"/>
      <x:c r="X2" s="40" t="str">
        <x:v>未确认可用于全文归档的程序化分发与字段范围。</x:v>
      </x:c>
    </x:row>
    <x:row r="3">
      <x:c r="A3" s="41" t="str">
        <x:v>A1-01-ZH-NATIVE-02</x:v>
      </x:c>
      <x:c r="B3" s="41" t="str">
        <x:v>A1-01</x:v>
      </x:c>
      <x:c r="C3" s="41" t="str">
        <x:v>国家互联网信息办公室</x:v>
      </x:c>
      <x:c r="D3" s="41" t="str">
        <x:v>https://www.cac.gov.cn/</x:v>
      </x:c>
      <x:c r="E3" s="41" t="str">
        <x:v>CN</x:v>
      </x:c>
      <x:c r="F3" s="41" t="str">
        <x:v>zh</x:v>
      </x:c>
      <x:c r="G3" s="41" t="str">
        <x:v>主管部门资讯</x:v>
      </x:c>
      <x:c r="H3" s="41" t="str">
        <x:v>违反社会主义核心价值观的内容</x:v>
      </x:c>
      <x:c r="I3" s="41" t="str">
        <x:v>煽动颠覆国家政权、推翻社会主义制度</x:v>
      </x:c>
      <x:c r="J3" s="41" t="str">
        <x:v>zh</x:v>
      </x:c>
      <x:c r="K3" s="41" t="str">
        <x:v>zh-native-02</x:v>
      </x:c>
      <x:c r="L3" s="41" t="str">
        <x:v>网络内容治理；危害国家安全相关违法信息；公开处置线索</x:v>
      </x:c>
      <x:c r="M3" s="41" t="str">
        <x:v>专题/公开通报栏目 + 站内检索</x:v>
      </x:c>
      <x:c r="N3" s="41" t="str">
        <x:v>V0—未确认 robots/条款/API</x:v>
      </x:c>
      <x:c r="O3" s="41" t="str">
        <x:v>候选-待核验</x:v>
      </x:c>
      <x:c r="P3" s="44"/>
      <x:c r="Q3" s="41" t="str">
        <x:v>仅作为场景素材入口；只抓取公开栏目与文章页，不采集评论、账号资料或其他个人信息。</x:v>
      </x:c>
      <x:c r="R3" s="41" t="str">
        <x:v>S03</x:v>
      </x:c>
      <x:c r="S3" s="41" t="str">
        <x:v>V0</x:v>
      </x:c>
      <x:c r="T3" s="41" t="str">
        <x:v>EV-03, EV-16</x:v>
      </x:c>
      <x:c r="U3" s="41" t="str">
        <x:v>2026-08-26</x:v>
      </x:c>
      <x:c r="V3" s="41" t="str">
        <x:v>禁止：未取得与当前入口对应的程序化采集许可。</x:v>
      </x:c>
      <x:c r="W3" s="41" t="str"/>
      <x:c r="X3" s="41" t="str">
        <x:v>未确认可用于全文归档的程序化分发与字段范围。</x:v>
      </x:c>
    </x:row>
    <x:row r="4">
      <x:c r="A4" s="41" t="str">
        <x:v>A1-01-ZH-LOCALIZED-01</x:v>
      </x:c>
      <x:c r="B4" s="41" t="str">
        <x:v>A1-01</x:v>
      </x:c>
      <x:c r="C4" s="41" t="str">
        <x:v>UNESCO — Countering Hate Speech</x:v>
      </x:c>
      <x:c r="D4" s="41" t="str">
        <x:v>https://www.unesco.org/en/tags/countering-hate-speech</x:v>
      </x:c>
      <x:c r="E4" s="41" t="str">
        <x:v>overseas</x:v>
      </x:c>
      <x:c r="F4" s="41" t="str">
        <x:v>en</x:v>
      </x:c>
      <x:c r="G4" s="41" t="str">
        <x:v>国际组织专题</x:v>
      </x:c>
      <x:c r="H4" s="41" t="str">
        <x:v>违反社会主义核心价值观的内容</x:v>
      </x:c>
      <x:c r="I4" s="41" t="str">
        <x:v>煽动颠覆国家政权、推翻社会主义制度</x:v>
      </x:c>
      <x:c r="J4" s="41" t="str">
        <x:v>zh</x:v>
      </x:c>
      <x:c r="K4" s="41" t="str">
        <x:v>zh-localized-01</x:v>
      </x:c>
      <x:c r="L4" s="41" t="str">
        <x:v>public-interest content governance; harmful information; official response cases</x:v>
      </x:c>
      <x:c r="M4" s="41" t="str">
        <x:v>专题页 + 日期筛选 + 主题词筛选</x:v>
      </x:c>
      <x:c r="N4" s="41" t="str">
        <x:v>V0—未确认 robots/条款/API</x:v>
      </x:c>
      <x:c r="O4" s="41" t="str">
        <x:v>候选-待核验</x:v>
      </x:c>
      <x:c r="P4" s="44"/>
      <x:c r="Q4" s="41" t="str">
        <x:v>仅作为场景素材入口；只抓取公开栏目与文章页，不采集评论、账号资料或其他个人信息。</x:v>
      </x:c>
      <x:c r="R4" s="41" t="str">
        <x:v>S09</x:v>
      </x:c>
      <x:c r="S4" s="41" t="str">
        <x:v>V0</x:v>
      </x:c>
      <x:c r="T4" s="41" t="str">
        <x:v>EV-09</x:v>
      </x:c>
      <x:c r="U4" s="41" t="str">
        <x:v>2026-08-26</x:v>
      </x:c>
      <x:c r="V4" s="41" t="str">
        <x:v>禁止：未取得与当前入口对应的程序化采集许可。</x:v>
      </x:c>
      <x:c r="W4" s="41" t="str"/>
      <x:c r="X4" s="41" t="str">
        <x:v>未确认可用于全文归档的程序化分发与字段范围。</x:v>
      </x:c>
    </x:row>
    <x:row r="5">
      <x:c r="A5" s="41" t="str">
        <x:v>A1-01-EN-01</x:v>
      </x:c>
      <x:c r="B5" s="41" t="str">
        <x:v>A1-01</x:v>
      </x:c>
      <x:c r="C5" s="41" t="str">
        <x:v>UNESCO — Countering Hate Speech</x:v>
      </x:c>
      <x:c r="D5" s="41" t="str">
        <x:v>https://www.unesco.org/en/tags/countering-hate-speech</x:v>
      </x:c>
      <x:c r="E5" s="41" t="str">
        <x:v>overseas</x:v>
      </x:c>
      <x:c r="F5" s="41" t="str">
        <x:v>en</x:v>
      </x:c>
      <x:c r="G5" s="41" t="str">
        <x:v>国际组织专题</x:v>
      </x:c>
      <x:c r="H5" s="41" t="str">
        <x:v>违反社会主义核心价值观的内容</x:v>
      </x:c>
      <x:c r="I5" s="41" t="str">
        <x:v>煽动颠覆国家政权、推翻社会主义制度</x:v>
      </x:c>
      <x:c r="J5" s="41" t="str">
        <x:v>en</x:v>
      </x:c>
      <x:c r="K5" s="41" t="str">
        <x:v>en-01</x:v>
      </x:c>
      <x:c r="L5" s="41" t="str">
        <x:v>public-interest content governance; harmful information; official response cases</x:v>
      </x:c>
      <x:c r="M5" s="41" t="str">
        <x:v>专题页 + 日期筛选 + 主题词筛选</x:v>
      </x:c>
      <x:c r="N5" s="41" t="str">
        <x:v>V0—未确认 robots/条款/API</x:v>
      </x:c>
      <x:c r="O5" s="41" t="str">
        <x:v>候选-待核验</x:v>
      </x:c>
      <x:c r="P5" s="44"/>
      <x:c r="Q5" s="41" t="str">
        <x:v>仅作为场景素材入口；只抓取公开栏目与文章页，不采集评论、账号资料或其他个人信息。</x:v>
      </x:c>
      <x:c r="R5" s="41" t="str">
        <x:v>S09</x:v>
      </x:c>
      <x:c r="S5" s="41" t="str">
        <x:v>V0</x:v>
      </x:c>
      <x:c r="T5" s="41" t="str">
        <x:v>EV-09</x:v>
      </x:c>
      <x:c r="U5" s="41" t="str">
        <x:v>2026-08-26</x:v>
      </x:c>
      <x:c r="V5" s="41" t="str">
        <x:v>禁止：未取得与当前入口对应的程序化采集许可。</x:v>
      </x:c>
      <x:c r="W5" s="41" t="str"/>
      <x:c r="X5" s="41" t="str">
        <x:v>未确认可用于全文归档的程序化分发与字段范围。</x:v>
      </x:c>
    </x:row>
    <x:row r="6">
      <x:c r="A6" s="41" t="str">
        <x:v>A1-02-ZH-NATIVE-01</x:v>
      </x:c>
      <x:c r="B6" s="41" t="str">
        <x:v>A1-02</x:v>
      </x:c>
      <x:c r="C6" s="41" t="str">
        <x:v>违法和不良信息举报中心（12377）</x:v>
      </x:c>
      <x:c r="D6" s="41" t="str">
        <x:v>https://www.12377.cn/jsal/list1.html</x:v>
      </x:c>
      <x:c r="E6" s="41" t="str">
        <x:v>CN</x:v>
      </x:c>
      <x:c r="F6" s="41" t="str">
        <x:v>zh</x:v>
      </x:c>
      <x:c r="G6" s="41" t="str">
        <x:v>官方处置案例</x:v>
      </x:c>
      <x:c r="H6" s="41" t="str">
        <x:v>违反社会主义核心价值观的内容</x:v>
      </x:c>
      <x:c r="I6" s="41" t="str">
        <x:v>危害国家安全和利益、损害国家形象</x:v>
      </x:c>
      <x:c r="J6" s="41" t="str">
        <x:v>zh</x:v>
      </x:c>
      <x:c r="K6" s="41" t="str">
        <x:v>zh-native-01</x:v>
      </x:c>
      <x:c r="L6" s="41" t="str">
        <x:v>网络内容治理；危害国家安全相关信息；公开通报线索</x:v>
      </x:c>
      <x:c r="M6" s="41" t="str">
        <x:v>栏目页分页 + 标题/正文主题词筛选</x:v>
      </x:c>
      <x:c r="N6" s="41" t="str">
        <x:v>V0—未确认 robots/条款/API</x:v>
      </x:c>
      <x:c r="O6" s="41" t="str">
        <x:v>候选-待核验</x:v>
      </x:c>
      <x:c r="P6" s="44"/>
      <x:c r="Q6" s="41" t="str">
        <x:v>仅作为场景素材入口；只抓取公开栏目与文章页，不采集评论、账号资料或其他个人信息。</x:v>
      </x:c>
      <x:c r="R6" s="41" t="str">
        <x:v>S01</x:v>
      </x:c>
      <x:c r="S6" s="41" t="str">
        <x:v>V0</x:v>
      </x:c>
      <x:c r="T6" s="41" t="str">
        <x:v>EV-01</x:v>
      </x:c>
      <x:c r="U6" s="41" t="str">
        <x:v>2026-08-26</x:v>
      </x:c>
      <x:c r="V6" s="41" t="str">
        <x:v>禁止：未取得与当前入口对应的程序化采集许可。</x:v>
      </x:c>
      <x:c r="W6" s="41" t="str"/>
      <x:c r="X6" s="41" t="str">
        <x:v>未确认可用于全文归档的程序化分发与字段范围。</x:v>
      </x:c>
    </x:row>
    <x:row r="7">
      <x:c r="A7" s="41" t="str">
        <x:v>A1-02-ZH-NATIVE-02</x:v>
      </x:c>
      <x:c r="B7" s="41" t="str">
        <x:v>A1-02</x:v>
      </x:c>
      <x:c r="C7" s="41" t="str">
        <x:v>国家互联网信息办公室</x:v>
      </x:c>
      <x:c r="D7" s="41" t="str">
        <x:v>https://www.cac.gov.cn/</x:v>
      </x:c>
      <x:c r="E7" s="41" t="str">
        <x:v>CN</x:v>
      </x:c>
      <x:c r="F7" s="41" t="str">
        <x:v>zh</x:v>
      </x:c>
      <x:c r="G7" s="41" t="str">
        <x:v>主管部门资讯</x:v>
      </x:c>
      <x:c r="H7" s="41" t="str">
        <x:v>违反社会主义核心价值观的内容</x:v>
      </x:c>
      <x:c r="I7" s="41" t="str">
        <x:v>危害国家安全和利益、损害国家形象</x:v>
      </x:c>
      <x:c r="J7" s="41" t="str">
        <x:v>zh</x:v>
      </x:c>
      <x:c r="K7" s="41" t="str">
        <x:v>zh-native-02</x:v>
      </x:c>
      <x:c r="L7" s="41" t="str">
        <x:v>网络内容治理；危害国家安全相关信息；公开通报线索</x:v>
      </x:c>
      <x:c r="M7" s="41" t="str">
        <x:v>专题/公开通报栏目 + 站内检索</x:v>
      </x:c>
      <x:c r="N7" s="41" t="str">
        <x:v>V0—未确认 robots/条款/API</x:v>
      </x:c>
      <x:c r="O7" s="41" t="str">
        <x:v>候选-待核验</x:v>
      </x:c>
      <x:c r="P7" s="44"/>
      <x:c r="Q7" s="41" t="str">
        <x:v>仅作为场景素材入口；只抓取公开栏目与文章页，不采集评论、账号资料或其他个人信息。</x:v>
      </x:c>
      <x:c r="R7" s="41" t="str">
        <x:v>S03</x:v>
      </x:c>
      <x:c r="S7" s="41" t="str">
        <x:v>V0</x:v>
      </x:c>
      <x:c r="T7" s="41" t="str">
        <x:v>EV-03, EV-16</x:v>
      </x:c>
      <x:c r="U7" s="41" t="str">
        <x:v>2026-08-26</x:v>
      </x:c>
      <x:c r="V7" s="41" t="str">
        <x:v>禁止：未取得与当前入口对应的程序化采集许可。</x:v>
      </x:c>
      <x:c r="W7" s="41" t="str"/>
      <x:c r="X7" s="41" t="str">
        <x:v>未确认可用于全文归档的程序化分发与字段范围。</x:v>
      </x:c>
    </x:row>
    <x:row r="8">
      <x:c r="A8" s="41" t="str">
        <x:v>A1-02-ZH-LOCALIZED-01</x:v>
      </x:c>
      <x:c r="B8" s="41" t="str">
        <x:v>A1-02</x:v>
      </x:c>
      <x:c r="C8" s="41" t="str">
        <x:v>UNESCO — Countering Hate Speech</x:v>
      </x:c>
      <x:c r="D8" s="41" t="str">
        <x:v>https://www.unesco.org/en/tags/countering-hate-speech</x:v>
      </x:c>
      <x:c r="E8" s="41" t="str">
        <x:v>overseas</x:v>
      </x:c>
      <x:c r="F8" s="41" t="str">
        <x:v>en</x:v>
      </x:c>
      <x:c r="G8" s="41" t="str">
        <x:v>国际组织专题</x:v>
      </x:c>
      <x:c r="H8" s="41" t="str">
        <x:v>违反社会主义核心价值观的内容</x:v>
      </x:c>
      <x:c r="I8" s="41" t="str">
        <x:v>危害国家安全和利益、损害国家形象</x:v>
      </x:c>
      <x:c r="J8" s="41" t="str">
        <x:v>zh</x:v>
      </x:c>
      <x:c r="K8" s="41" t="str">
        <x:v>zh-localized-01</x:v>
      </x:c>
      <x:c r="L8" s="41" t="str">
        <x:v>content governance; security-sensitive information; public policy context</x:v>
      </x:c>
      <x:c r="M8" s="41" t="str">
        <x:v>专题页 + 日期筛选 + 主题词筛选</x:v>
      </x:c>
      <x:c r="N8" s="41" t="str">
        <x:v>V0—未确认 robots/条款/API</x:v>
      </x:c>
      <x:c r="O8" s="41" t="str">
        <x:v>候选-待核验</x:v>
      </x:c>
      <x:c r="P8" s="44"/>
      <x:c r="Q8" s="41" t="str">
        <x:v>仅作为场景素材入口；只抓取公开栏目与文章页，不采集评论、账号资料或其他个人信息。</x:v>
      </x:c>
      <x:c r="R8" s="41" t="str">
        <x:v>S09</x:v>
      </x:c>
      <x:c r="S8" s="41" t="str">
        <x:v>V0</x:v>
      </x:c>
      <x:c r="T8" s="41" t="str">
        <x:v>EV-09</x:v>
      </x:c>
      <x:c r="U8" s="41" t="str">
        <x:v>2026-08-26</x:v>
      </x:c>
      <x:c r="V8" s="41" t="str">
        <x:v>禁止：未取得与当前入口对应的程序化采集许可。</x:v>
      </x:c>
      <x:c r="W8" s="41" t="str"/>
      <x:c r="X8" s="41" t="str">
        <x:v>未确认可用于全文归档的程序化分发与字段范围。</x:v>
      </x:c>
    </x:row>
    <x:row r="9">
      <x:c r="A9" s="41" t="str">
        <x:v>A1-02-EN-01</x:v>
      </x:c>
      <x:c r="B9" s="41" t="str">
        <x:v>A1-02</x:v>
      </x:c>
      <x:c r="C9" s="41" t="str">
        <x:v>UNESCO — Countering Hate Speech</x:v>
      </x:c>
      <x:c r="D9" s="41" t="str">
        <x:v>https://www.unesco.org/en/tags/countering-hate-speech</x:v>
      </x:c>
      <x:c r="E9" s="41" t="str">
        <x:v>overseas</x:v>
      </x:c>
      <x:c r="F9" s="41" t="str">
        <x:v>en</x:v>
      </x:c>
      <x:c r="G9" s="41" t="str">
        <x:v>国际组织专题</x:v>
      </x:c>
      <x:c r="H9" s="41" t="str">
        <x:v>违反社会主义核心价值观的内容</x:v>
      </x:c>
      <x:c r="I9" s="41" t="str">
        <x:v>危害国家安全和利益、损害国家形象</x:v>
      </x:c>
      <x:c r="J9" s="41" t="str">
        <x:v>en</x:v>
      </x:c>
      <x:c r="K9" s="41" t="str">
        <x:v>en-01</x:v>
      </x:c>
      <x:c r="L9" s="41" t="str">
        <x:v>content governance; security-sensitive information; public policy context</x:v>
      </x:c>
      <x:c r="M9" s="41" t="str">
        <x:v>专题页 + 日期筛选 + 主题词筛选</x:v>
      </x:c>
      <x:c r="N9" s="41" t="str">
        <x:v>V0—未确认 robots/条款/API</x:v>
      </x:c>
      <x:c r="O9" s="41" t="str">
        <x:v>候选-待核验</x:v>
      </x:c>
      <x:c r="P9" s="44"/>
      <x:c r="Q9" s="41" t="str">
        <x:v>仅作为场景素材入口；只抓取公开栏目与文章页，不采集评论、账号资料或其他个人信息。</x:v>
      </x:c>
      <x:c r="R9" s="41" t="str">
        <x:v>S09</x:v>
      </x:c>
      <x:c r="S9" s="41" t="str">
        <x:v>V0</x:v>
      </x:c>
      <x:c r="T9" s="41" t="str">
        <x:v>EV-09</x:v>
      </x:c>
      <x:c r="U9" s="41" t="str">
        <x:v>2026-08-26</x:v>
      </x:c>
      <x:c r="V9" s="41" t="str">
        <x:v>禁止：未取得与当前入口对应的程序化采集许可。</x:v>
      </x:c>
      <x:c r="W9" s="41" t="str"/>
      <x:c r="X9" s="41" t="str">
        <x:v>未确认可用于全文归档的程序化分发与字段范围。</x:v>
      </x:c>
    </x:row>
    <x:row r="10">
      <x:c r="A10" s="41" t="str">
        <x:v>A1-03-ZH-NATIVE-01</x:v>
      </x:c>
      <x:c r="B10" s="41" t="str">
        <x:v>A1-03</x:v>
      </x:c>
      <x:c r="C10" s="41" t="str">
        <x:v>违法和不良信息举报中心（12377）</x:v>
      </x:c>
      <x:c r="D10" s="41" t="str">
        <x:v>https://www.12377.cn/jsal/list1.html</x:v>
      </x:c>
      <x:c r="E10" s="41" t="str">
        <x:v>CN</x:v>
      </x:c>
      <x:c r="F10" s="41" t="str">
        <x:v>zh</x:v>
      </x:c>
      <x:c r="G10" s="41" t="str">
        <x:v>官方处置案例</x:v>
      </x:c>
      <x:c r="H10" s="41" t="str">
        <x:v>违反社会主义核心价值观的内容</x:v>
      </x:c>
      <x:c r="I10" s="41" t="str">
        <x:v>煽动分裂国家、破坏国家统一和社会稳定</x:v>
      </x:c>
      <x:c r="J10" s="41" t="str">
        <x:v>zh</x:v>
      </x:c>
      <x:c r="K10" s="41" t="str">
        <x:v>zh-native-01</x:v>
      </x:c>
      <x:c r="L10" s="41" t="str">
        <x:v>网络违法信息治理；社会稳定；公开处置线索</x:v>
      </x:c>
      <x:c r="M10" s="41" t="str">
        <x:v>栏目页分页 + 标题/正文主题词筛选</x:v>
      </x:c>
      <x:c r="N10" s="41" t="str">
        <x:v>V0—未确认 robots/条款/API</x:v>
      </x:c>
      <x:c r="O10" s="41" t="str">
        <x:v>候选-待核验</x:v>
      </x:c>
      <x:c r="P10" s="44"/>
      <x:c r="Q10" s="41" t="str">
        <x:v>仅作为场景素材入口；只抓取公开栏目与文章页，不采集评论、账号资料或其他个人信息。</x:v>
      </x:c>
      <x:c r="R10" s="41" t="str">
        <x:v>S01</x:v>
      </x:c>
      <x:c r="S10" s="41" t="str">
        <x:v>V0</x:v>
      </x:c>
      <x:c r="T10" s="41" t="str">
        <x:v>EV-01</x:v>
      </x:c>
      <x:c r="U10" s="41" t="str">
        <x:v>2026-08-26</x:v>
      </x:c>
      <x:c r="V10" s="41" t="str">
        <x:v>禁止：未取得与当前入口对应的程序化采集许可。</x:v>
      </x:c>
      <x:c r="W10" s="41" t="str"/>
      <x:c r="X10" s="41" t="str">
        <x:v>未确认可用于全文归档的程序化分发与字段范围。</x:v>
      </x:c>
    </x:row>
    <x:row r="11">
      <x:c r="A11" s="41" t="str">
        <x:v>A1-03-ZH-NATIVE-02</x:v>
      </x:c>
      <x:c r="B11" s="41" t="str">
        <x:v>A1-03</x:v>
      </x:c>
      <x:c r="C11" s="41" t="str">
        <x:v>国家互联网信息办公室</x:v>
      </x:c>
      <x:c r="D11" s="41" t="str">
        <x:v>https://www.cac.gov.cn/</x:v>
      </x:c>
      <x:c r="E11" s="41" t="str">
        <x:v>CN</x:v>
      </x:c>
      <x:c r="F11" s="41" t="str">
        <x:v>zh</x:v>
      </x:c>
      <x:c r="G11" s="41" t="str">
        <x:v>主管部门资讯</x:v>
      </x:c>
      <x:c r="H11" s="41" t="str">
        <x:v>违反社会主义核心价值观的内容</x:v>
      </x:c>
      <x:c r="I11" s="41" t="str">
        <x:v>煽动分裂国家、破坏国家统一和社会稳定</x:v>
      </x:c>
      <x:c r="J11" s="41" t="str">
        <x:v>zh</x:v>
      </x:c>
      <x:c r="K11" s="41" t="str">
        <x:v>zh-native-02</x:v>
      </x:c>
      <x:c r="L11" s="41" t="str">
        <x:v>网络违法信息治理；社会稳定；公开处置线索</x:v>
      </x:c>
      <x:c r="M11" s="41" t="str">
        <x:v>专题/公开通报栏目 + 站内检索</x:v>
      </x:c>
      <x:c r="N11" s="41" t="str">
        <x:v>V0—未确认 robots/条款/API</x:v>
      </x:c>
      <x:c r="O11" s="41" t="str">
        <x:v>候选-待核验</x:v>
      </x:c>
      <x:c r="P11" s="44"/>
      <x:c r="Q11" s="41" t="str">
        <x:v>仅作为场景素材入口；只抓取公开栏目与文章页，不采集评论、账号资料或其他个人信息。</x:v>
      </x:c>
      <x:c r="R11" s="41" t="str">
        <x:v>S03</x:v>
      </x:c>
      <x:c r="S11" s="41" t="str">
        <x:v>V0</x:v>
      </x:c>
      <x:c r="T11" s="41" t="str">
        <x:v>EV-03, EV-16</x:v>
      </x:c>
      <x:c r="U11" s="41" t="str">
        <x:v>2026-08-26</x:v>
      </x:c>
      <x:c r="V11" s="41" t="str">
        <x:v>禁止：未取得与当前入口对应的程序化采集许可。</x:v>
      </x:c>
      <x:c r="W11" s="41" t="str"/>
      <x:c r="X11" s="41" t="str">
        <x:v>未确认可用于全文归档的程序化分发与字段范围。</x:v>
      </x:c>
    </x:row>
    <x:row r="12">
      <x:c r="A12" s="41" t="str">
        <x:v>A1-03-ZH-LOCALIZED-01</x:v>
      </x:c>
      <x:c r="B12" s="41" t="str">
        <x:v>A1-03</x:v>
      </x:c>
      <x:c r="C12" s="41" t="str">
        <x:v>UNESCO — Countering Hate Speech</x:v>
      </x:c>
      <x:c r="D12" s="41" t="str">
        <x:v>https://www.unesco.org/en/tags/countering-hate-speech</x:v>
      </x:c>
      <x:c r="E12" s="41" t="str">
        <x:v>overseas</x:v>
      </x:c>
      <x:c r="F12" s="41" t="str">
        <x:v>en</x:v>
      </x:c>
      <x:c r="G12" s="41" t="str">
        <x:v>国际组织专题</x:v>
      </x:c>
      <x:c r="H12" s="41" t="str">
        <x:v>违反社会主义核心价值观的内容</x:v>
      </x:c>
      <x:c r="I12" s="41" t="str">
        <x:v>煽动分裂国家、破坏国家统一和社会稳定</x:v>
      </x:c>
      <x:c r="J12" s="41" t="str">
        <x:v>zh</x:v>
      </x:c>
      <x:c r="K12" s="41" t="str">
        <x:v>zh-localized-01</x:v>
      </x:c>
      <x:c r="L12" s="41" t="str">
        <x:v>social cohesion; harmful online content; official response context</x:v>
      </x:c>
      <x:c r="M12" s="41" t="str">
        <x:v>专题页 + 日期筛选 + 主题词筛选</x:v>
      </x:c>
      <x:c r="N12" s="41" t="str">
        <x:v>V0—未确认 robots/条款/API</x:v>
      </x:c>
      <x:c r="O12" s="41" t="str">
        <x:v>候选-待核验</x:v>
      </x:c>
      <x:c r="P12" s="44"/>
      <x:c r="Q12" s="41" t="str">
        <x:v>仅作为场景素材入口；只抓取公开栏目与文章页，不采集评论、账号资料或其他个人信息。</x:v>
      </x:c>
      <x:c r="R12" s="41" t="str">
        <x:v>S09</x:v>
      </x:c>
      <x:c r="S12" s="41" t="str">
        <x:v>V0</x:v>
      </x:c>
      <x:c r="T12" s="41" t="str">
        <x:v>EV-09</x:v>
      </x:c>
      <x:c r="U12" s="41" t="str">
        <x:v>2026-08-26</x:v>
      </x:c>
      <x:c r="V12" s="41" t="str">
        <x:v>禁止：未取得与当前入口对应的程序化采集许可。</x:v>
      </x:c>
      <x:c r="W12" s="41" t="str"/>
      <x:c r="X12" s="41" t="str">
        <x:v>未确认可用于全文归档的程序化分发与字段范围。</x:v>
      </x:c>
    </x:row>
    <x:row r="13">
      <x:c r="A13" s="41" t="str">
        <x:v>A1-03-EN-01</x:v>
      </x:c>
      <x:c r="B13" s="41" t="str">
        <x:v>A1-03</x:v>
      </x:c>
      <x:c r="C13" s="41" t="str">
        <x:v>UNESCO — Countering Hate Speech</x:v>
      </x:c>
      <x:c r="D13" s="41" t="str">
        <x:v>https://www.unesco.org/en/tags/countering-hate-speech</x:v>
      </x:c>
      <x:c r="E13" s="41" t="str">
        <x:v>overseas</x:v>
      </x:c>
      <x:c r="F13" s="41" t="str">
        <x:v>en</x:v>
      </x:c>
      <x:c r="G13" s="41" t="str">
        <x:v>国际组织专题</x:v>
      </x:c>
      <x:c r="H13" s="41" t="str">
        <x:v>违反社会主义核心价值观的内容</x:v>
      </x:c>
      <x:c r="I13" s="41" t="str">
        <x:v>煽动分裂国家、破坏国家统一和社会稳定</x:v>
      </x:c>
      <x:c r="J13" s="41" t="str">
        <x:v>en</x:v>
      </x:c>
      <x:c r="K13" s="41" t="str">
        <x:v>en-01</x:v>
      </x:c>
      <x:c r="L13" s="41" t="str">
        <x:v>social cohesion; harmful online content; official response context</x:v>
      </x:c>
      <x:c r="M13" s="41" t="str">
        <x:v>专题页 + 日期筛选 + 主题词筛选</x:v>
      </x:c>
      <x:c r="N13" s="41" t="str">
        <x:v>V0—未确认 robots/条款/API</x:v>
      </x:c>
      <x:c r="O13" s="41" t="str">
        <x:v>候选-待核验</x:v>
      </x:c>
      <x:c r="P13" s="44"/>
      <x:c r="Q13" s="41" t="str">
        <x:v>仅作为场景素材入口；只抓取公开栏目与文章页，不采集评论、账号资料或其他个人信息。</x:v>
      </x:c>
      <x:c r="R13" s="41" t="str">
        <x:v>S09</x:v>
      </x:c>
      <x:c r="S13" s="41" t="str">
        <x:v>V0</x:v>
      </x:c>
      <x:c r="T13" s="41" t="str">
        <x:v>EV-09</x:v>
      </x:c>
      <x:c r="U13" s="41" t="str">
        <x:v>2026-08-26</x:v>
      </x:c>
      <x:c r="V13" s="41" t="str">
        <x:v>禁止：未取得与当前入口对应的程序化采集许可。</x:v>
      </x:c>
      <x:c r="W13" s="41" t="str"/>
      <x:c r="X13" s="41" t="str">
        <x:v>未确认可用于全文归档的程序化分发与字段范围。</x:v>
      </x:c>
    </x:row>
    <x:row r="14">
      <x:c r="A14" s="41" t="str">
        <x:v>A1-04-ZH-NATIVE-01</x:v>
      </x:c>
      <x:c r="B14" s="41" t="str">
        <x:v>A1-04</x:v>
      </x:c>
      <x:c r="C14" s="41" t="str">
        <x:v>违法和不良信息举报中心（12377）</x:v>
      </x:c>
      <x:c r="D14" s="41" t="str">
        <x:v>https://www.12377.cn/jsal/list1.html</x:v>
      </x:c>
      <x:c r="E14" s="41" t="str">
        <x:v>CN</x:v>
      </x:c>
      <x:c r="F14" s="41" t="str">
        <x:v>zh</x:v>
      </x:c>
      <x:c r="G14" s="41" t="str">
        <x:v>官方处置案例</x:v>
      </x:c>
      <x:c r="H14" s="41" t="str">
        <x:v>违反社会主义核心价值观的内容</x:v>
      </x:c>
      <x:c r="I14" s="41" t="str">
        <x:v>宣扬恐怖主义、极端主义</x:v>
      </x:c>
      <x:c r="J14" s="41" t="str">
        <x:v>zh</x:v>
      </x:c>
      <x:c r="K14" s="41" t="str">
        <x:v>zh-native-01</x:v>
      </x:c>
      <x:c r="L14" s="41" t="str">
        <x:v>网络有害内容治理；极端化风险；公开处置线索</x:v>
      </x:c>
      <x:c r="M14" s="41" t="str">
        <x:v>栏目页分页 + 标题/正文主题词筛选</x:v>
      </x:c>
      <x:c r="N14" s="41" t="str">
        <x:v>V0—未确认 robots/条款/API</x:v>
      </x:c>
      <x:c r="O14" s="41" t="str">
        <x:v>候选-待核验</x:v>
      </x:c>
      <x:c r="P14" s="44"/>
      <x:c r="Q14" s="41" t="str">
        <x:v>仅作为场景素材入口；只抓取公开栏目与文章页，不采集评论、账号资料或其他个人信息。</x:v>
      </x:c>
      <x:c r="R14" s="41" t="str">
        <x:v>S01</x:v>
      </x:c>
      <x:c r="S14" s="41" t="str">
        <x:v>V0</x:v>
      </x:c>
      <x:c r="T14" s="41" t="str">
        <x:v>EV-01</x:v>
      </x:c>
      <x:c r="U14" s="41" t="str">
        <x:v>2026-08-26</x:v>
      </x:c>
      <x:c r="V14" s="41" t="str">
        <x:v>禁止：未取得与当前入口对应的程序化采集许可。</x:v>
      </x:c>
      <x:c r="W14" s="41" t="str"/>
      <x:c r="X14" s="41" t="str">
        <x:v>未确认可用于全文归档的程序化分发与字段范围。</x:v>
      </x:c>
    </x:row>
    <x:row r="15">
      <x:c r="A15" s="41" t="str">
        <x:v>A1-04-ZH-NATIVE-02</x:v>
      </x:c>
      <x:c r="B15" s="41" t="str">
        <x:v>A1-04</x:v>
      </x:c>
      <x:c r="C15" s="41" t="str">
        <x:v>国家互联网信息办公室</x:v>
      </x:c>
      <x:c r="D15" s="41" t="str">
        <x:v>https://www.cac.gov.cn/</x:v>
      </x:c>
      <x:c r="E15" s="41" t="str">
        <x:v>CN</x:v>
      </x:c>
      <x:c r="F15" s="41" t="str">
        <x:v>zh</x:v>
      </x:c>
      <x:c r="G15" s="41" t="str">
        <x:v>主管部门资讯</x:v>
      </x:c>
      <x:c r="H15" s="41" t="str">
        <x:v>违反社会主义核心价值观的内容</x:v>
      </x:c>
      <x:c r="I15" s="41" t="str">
        <x:v>宣扬恐怖主义、极端主义</x:v>
      </x:c>
      <x:c r="J15" s="41" t="str">
        <x:v>zh</x:v>
      </x:c>
      <x:c r="K15" s="41" t="str">
        <x:v>zh-native-02</x:v>
      </x:c>
      <x:c r="L15" s="41" t="str">
        <x:v>网络有害内容治理；极端化风险；公开处置线索</x:v>
      </x:c>
      <x:c r="M15" s="41" t="str">
        <x:v>专题/公开通报栏目 + 站内检索</x:v>
      </x:c>
      <x:c r="N15" s="41" t="str">
        <x:v>V0—未确认 robots/条款/API</x:v>
      </x:c>
      <x:c r="O15" s="41" t="str">
        <x:v>候选-待核验</x:v>
      </x:c>
      <x:c r="P15" s="44"/>
      <x:c r="Q15" s="41" t="str">
        <x:v>仅作为场景素材入口；只抓取公开栏目与文章页，不采集评论、账号资料或其他个人信息。</x:v>
      </x:c>
      <x:c r="R15" s="41" t="str">
        <x:v>S03</x:v>
      </x:c>
      <x:c r="S15" s="41" t="str">
        <x:v>V0</x:v>
      </x:c>
      <x:c r="T15" s="41" t="str">
        <x:v>EV-03, EV-16</x:v>
      </x:c>
      <x:c r="U15" s="41" t="str">
        <x:v>2026-08-26</x:v>
      </x:c>
      <x:c r="V15" s="41" t="str">
        <x:v>禁止：未取得与当前入口对应的程序化采集许可。</x:v>
      </x:c>
      <x:c r="W15" s="41" t="str"/>
      <x:c r="X15" s="41" t="str">
        <x:v>未确认可用于全文归档的程序化分发与字段范围。</x:v>
      </x:c>
    </x:row>
    <x:row r="16">
      <x:c r="A16" s="41" t="str">
        <x:v>A1-04-ZH-LOCALIZED-01</x:v>
      </x:c>
      <x:c r="B16" s="41" t="str">
        <x:v>A1-04</x:v>
      </x:c>
      <x:c r="C16" s="41" t="str">
        <x:v>UNESCO — Countering Hate Speech</x:v>
      </x:c>
      <x:c r="D16" s="41" t="str">
        <x:v>https://www.unesco.org/en/tags/countering-hate-speech</x:v>
      </x:c>
      <x:c r="E16" s="41" t="str">
        <x:v>overseas</x:v>
      </x:c>
      <x:c r="F16" s="41" t="str">
        <x:v>en</x:v>
      </x:c>
      <x:c r="G16" s="41" t="str">
        <x:v>国际组织专题</x:v>
      </x:c>
      <x:c r="H16" s="41" t="str">
        <x:v>违反社会主义核心价值观的内容</x:v>
      </x:c>
      <x:c r="I16" s="41" t="str">
        <x:v>宣扬恐怖主义、极端主义</x:v>
      </x:c>
      <x:c r="J16" s="41" t="str">
        <x:v>zh</x:v>
      </x:c>
      <x:c r="K16" s="41" t="str">
        <x:v>zh-localized-01</x:v>
      </x:c>
      <x:c r="L16" s="41" t="str">
        <x:v>preventing violent extremism; harmful online content; policy context</x:v>
      </x:c>
      <x:c r="M16" s="41" t="str">
        <x:v>专题页 + 日期筛选 + 主题词筛选</x:v>
      </x:c>
      <x:c r="N16" s="41" t="str">
        <x:v>V0—未确认 robots/条款/API</x:v>
      </x:c>
      <x:c r="O16" s="41" t="str">
        <x:v>候选-待核验</x:v>
      </x:c>
      <x:c r="P16" s="44"/>
      <x:c r="Q16" s="41" t="str">
        <x:v>仅作为场景素材入口；只抓取公开栏目与文章页，不采集评论、账号资料或其他个人信息。</x:v>
      </x:c>
      <x:c r="R16" s="41" t="str">
        <x:v>S09</x:v>
      </x:c>
      <x:c r="S16" s="41" t="str">
        <x:v>V0</x:v>
      </x:c>
      <x:c r="T16" s="41" t="str">
        <x:v>EV-09</x:v>
      </x:c>
      <x:c r="U16" s="41" t="str">
        <x:v>2026-08-26</x:v>
      </x:c>
      <x:c r="V16" s="41" t="str">
        <x:v>禁止：未取得与当前入口对应的程序化采集许可。</x:v>
      </x:c>
      <x:c r="W16" s="41" t="str"/>
      <x:c r="X16" s="41" t="str">
        <x:v>未确认可用于全文归档的程序化分发与字段范围。</x:v>
      </x:c>
    </x:row>
    <x:row r="17">
      <x:c r="A17" s="41" t="str">
        <x:v>A1-04-EN-01</x:v>
      </x:c>
      <x:c r="B17" s="41" t="str">
        <x:v>A1-04</x:v>
      </x:c>
      <x:c r="C17" s="41" t="str">
        <x:v>UNESCO — Countering Hate Speech</x:v>
      </x:c>
      <x:c r="D17" s="41" t="str">
        <x:v>https://www.unesco.org/en/tags/countering-hate-speech</x:v>
      </x:c>
      <x:c r="E17" s="41" t="str">
        <x:v>overseas</x:v>
      </x:c>
      <x:c r="F17" s="41" t="str">
        <x:v>en</x:v>
      </x:c>
      <x:c r="G17" s="41" t="str">
        <x:v>国际组织专题</x:v>
      </x:c>
      <x:c r="H17" s="41" t="str">
        <x:v>违反社会主义核心价值观的内容</x:v>
      </x:c>
      <x:c r="I17" s="41" t="str">
        <x:v>宣扬恐怖主义、极端主义</x:v>
      </x:c>
      <x:c r="J17" s="41" t="str">
        <x:v>en</x:v>
      </x:c>
      <x:c r="K17" s="41" t="str">
        <x:v>en-01</x:v>
      </x:c>
      <x:c r="L17" s="41" t="str">
        <x:v>preventing violent extremism; harmful online content; policy context</x:v>
      </x:c>
      <x:c r="M17" s="41" t="str">
        <x:v>专题页 + 日期筛选 + 主题词筛选</x:v>
      </x:c>
      <x:c r="N17" s="41" t="str">
        <x:v>V0—未确认 robots/条款/API</x:v>
      </x:c>
      <x:c r="O17" s="41" t="str">
        <x:v>候选-待核验</x:v>
      </x:c>
      <x:c r="P17" s="44"/>
      <x:c r="Q17" s="41" t="str">
        <x:v>仅作为场景素材入口；只抓取公开栏目与文章页，不采集评论、账号资料或其他个人信息。</x:v>
      </x:c>
      <x:c r="R17" s="41" t="str">
        <x:v>S09</x:v>
      </x:c>
      <x:c r="S17" s="41" t="str">
        <x:v>V0</x:v>
      </x:c>
      <x:c r="T17" s="41" t="str">
        <x:v>EV-09</x:v>
      </x:c>
      <x:c r="U17" s="41" t="str">
        <x:v>2026-08-26</x:v>
      </x:c>
      <x:c r="V17" s="41" t="str">
        <x:v>禁止：未取得与当前入口对应的程序化采集许可。</x:v>
      </x:c>
      <x:c r="W17" s="41" t="str"/>
      <x:c r="X17" s="41" t="str">
        <x:v>未确认可用于全文归档的程序化分发与字段范围。</x:v>
      </x:c>
    </x:row>
    <x:row r="18">
      <x:c r="A18" s="41" t="str">
        <x:v>A1-05-ZH-NATIVE-01</x:v>
      </x:c>
      <x:c r="B18" s="41" t="str">
        <x:v>A1-05</x:v>
      </x:c>
      <x:c r="C18" s="41" t="str">
        <x:v>违法和不良信息举报中心（12377）</x:v>
      </x:c>
      <x:c r="D18" s="41" t="str">
        <x:v>https://www.12377.cn/jsal/list1.html</x:v>
      </x:c>
      <x:c r="E18" s="41" t="str">
        <x:v>CN</x:v>
      </x:c>
      <x:c r="F18" s="41" t="str">
        <x:v>zh</x:v>
      </x:c>
      <x:c r="G18" s="41" t="str">
        <x:v>官方处置案例</x:v>
      </x:c>
      <x:c r="H18" s="41" t="str">
        <x:v>违反社会主义核心价值观的内容</x:v>
      </x:c>
      <x:c r="I18" s="41" t="str">
        <x:v>宣扬民族仇恨</x:v>
      </x:c>
      <x:c r="J18" s="41" t="str">
        <x:v>zh</x:v>
      </x:c>
      <x:c r="K18" s="41" t="str">
        <x:v>zh-native-01</x:v>
      </x:c>
      <x:c r="L18" s="41" t="str">
        <x:v>网络仇恨性表达治理；公开处置线索</x:v>
      </x:c>
      <x:c r="M18" s="41" t="str">
        <x:v>栏目页分页 + 标题/正文主题词筛选</x:v>
      </x:c>
      <x:c r="N18" s="41" t="str">
        <x:v>V0—未确认 robots/条款/API</x:v>
      </x:c>
      <x:c r="O18" s="41" t="str">
        <x:v>候选-待核验</x:v>
      </x:c>
      <x:c r="P18" s="44"/>
      <x:c r="Q18" s="41" t="str">
        <x:v>仅作为场景素材入口；只抓取公开栏目与文章页，不采集评论、账号资料或其他个人信息。</x:v>
      </x:c>
      <x:c r="R18" s="41" t="str">
        <x:v>S01</x:v>
      </x:c>
      <x:c r="S18" s="41" t="str">
        <x:v>V0</x:v>
      </x:c>
      <x:c r="T18" s="41" t="str">
        <x:v>EV-01</x:v>
      </x:c>
      <x:c r="U18" s="41" t="str">
        <x:v>2026-08-26</x:v>
      </x:c>
      <x:c r="V18" s="41" t="str">
        <x:v>禁止：未取得与当前入口对应的程序化采集许可。</x:v>
      </x:c>
      <x:c r="W18" s="41" t="str"/>
      <x:c r="X18" s="41" t="str">
        <x:v>未确认可用于全文归档的程序化分发与字段范围。</x:v>
      </x:c>
    </x:row>
    <x:row r="19">
      <x:c r="A19" s="41" t="str">
        <x:v>A1-05-ZH-NATIVE-02</x:v>
      </x:c>
      <x:c r="B19" s="41" t="str">
        <x:v>A1-05</x:v>
      </x:c>
      <x:c r="C19" s="41" t="str">
        <x:v>国家互联网信息办公室</x:v>
      </x:c>
      <x:c r="D19" s="41" t="str">
        <x:v>https://www.cac.gov.cn/</x:v>
      </x:c>
      <x:c r="E19" s="41" t="str">
        <x:v>CN</x:v>
      </x:c>
      <x:c r="F19" s="41" t="str">
        <x:v>zh</x:v>
      </x:c>
      <x:c r="G19" s="41" t="str">
        <x:v>主管部门资讯</x:v>
      </x:c>
      <x:c r="H19" s="41" t="str">
        <x:v>违反社会主义核心价值观的内容</x:v>
      </x:c>
      <x:c r="I19" s="41" t="str">
        <x:v>宣扬民族仇恨</x:v>
      </x:c>
      <x:c r="J19" s="41" t="str">
        <x:v>zh</x:v>
      </x:c>
      <x:c r="K19" s="41" t="str">
        <x:v>zh-native-02</x:v>
      </x:c>
      <x:c r="L19" s="41" t="str">
        <x:v>网络仇恨性表达治理；公开处置线索</x:v>
      </x:c>
      <x:c r="M19" s="41" t="str">
        <x:v>专题/公开通报栏目 + 站内检索</x:v>
      </x:c>
      <x:c r="N19" s="41" t="str">
        <x:v>V0—未确认 robots/条款/API</x:v>
      </x:c>
      <x:c r="O19" s="41" t="str">
        <x:v>候选-待核验</x:v>
      </x:c>
      <x:c r="P19" s="44"/>
      <x:c r="Q19" s="41" t="str">
        <x:v>仅作为场景素材入口；只抓取公开栏目与文章页，不采集评论、账号资料或其他个人信息。</x:v>
      </x:c>
      <x:c r="R19" s="41" t="str">
        <x:v>S03</x:v>
      </x:c>
      <x:c r="S19" s="41" t="str">
        <x:v>V0</x:v>
      </x:c>
      <x:c r="T19" s="41" t="str">
        <x:v>EV-03, EV-16</x:v>
      </x:c>
      <x:c r="U19" s="41" t="str">
        <x:v>2026-08-26</x:v>
      </x:c>
      <x:c r="V19" s="41" t="str">
        <x:v>禁止：未取得与当前入口对应的程序化采集许可。</x:v>
      </x:c>
      <x:c r="W19" s="41" t="str"/>
      <x:c r="X19" s="41" t="str">
        <x:v>未确认可用于全文归档的程序化分发与字段范围。</x:v>
      </x:c>
    </x:row>
    <x:row r="20">
      <x:c r="A20" s="41" t="str">
        <x:v>A1-05-ZH-LOCALIZED-01</x:v>
      </x:c>
      <x:c r="B20" s="41" t="str">
        <x:v>A1-05</x:v>
      </x:c>
      <x:c r="C20" s="41" t="str">
        <x:v>UNESCO — Countering Hate Speech</x:v>
      </x:c>
      <x:c r="D20" s="41" t="str">
        <x:v>https://www.unesco.org/en/tags/countering-hate-speech</x:v>
      </x:c>
      <x:c r="E20" s="41" t="str">
        <x:v>overseas</x:v>
      </x:c>
      <x:c r="F20" s="41" t="str">
        <x:v>en</x:v>
      </x:c>
      <x:c r="G20" s="41" t="str">
        <x:v>国际组织专题</x:v>
      </x:c>
      <x:c r="H20" s="41" t="str">
        <x:v>违反社会主义核心价值观的内容</x:v>
      </x:c>
      <x:c r="I20" s="41" t="str">
        <x:v>宣扬民族仇恨</x:v>
      </x:c>
      <x:c r="J20" s="41" t="str">
        <x:v>zh</x:v>
      </x:c>
      <x:c r="K20" s="41" t="str">
        <x:v>zh-localized-01</x:v>
      </x:c>
      <x:c r="L20" s="41" t="str">
        <x:v>hate speech; ethnic hostility; social cohesion</x:v>
      </x:c>
      <x:c r="M20" s="41" t="str">
        <x:v>专题页 + 日期筛选 + 主题词筛选</x:v>
      </x:c>
      <x:c r="N20" s="41" t="str">
        <x:v>V0—未确认 robots/条款/API</x:v>
      </x:c>
      <x:c r="O20" s="41" t="str">
        <x:v>候选-待核验</x:v>
      </x:c>
      <x:c r="P20" s="44"/>
      <x:c r="Q20" s="41" t="str">
        <x:v>仅作为场景素材入口；只抓取公开栏目与文章页，不采集评论、账号资料或其他个人信息。</x:v>
      </x:c>
      <x:c r="R20" s="41" t="str">
        <x:v>S09</x:v>
      </x:c>
      <x:c r="S20" s="41" t="str">
        <x:v>V0</x:v>
      </x:c>
      <x:c r="T20" s="41" t="str">
        <x:v>EV-09</x:v>
      </x:c>
      <x:c r="U20" s="41" t="str">
        <x:v>2026-08-26</x:v>
      </x:c>
      <x:c r="V20" s="41" t="str">
        <x:v>禁止：未取得与当前入口对应的程序化采集许可。</x:v>
      </x:c>
      <x:c r="W20" s="41" t="str"/>
      <x:c r="X20" s="41" t="str">
        <x:v>未确认可用于全文归档的程序化分发与字段范围。</x:v>
      </x:c>
    </x:row>
    <x:row r="21">
      <x:c r="A21" s="41" t="str">
        <x:v>A1-05-EN-01</x:v>
      </x:c>
      <x:c r="B21" s="41" t="str">
        <x:v>A1-05</x:v>
      </x:c>
      <x:c r="C21" s="41" t="str">
        <x:v>UNESCO — Countering Hate Speech</x:v>
      </x:c>
      <x:c r="D21" s="41" t="str">
        <x:v>https://www.unesco.org/en/tags/countering-hate-speech</x:v>
      </x:c>
      <x:c r="E21" s="41" t="str">
        <x:v>overseas</x:v>
      </x:c>
      <x:c r="F21" s="41" t="str">
        <x:v>en</x:v>
      </x:c>
      <x:c r="G21" s="41" t="str">
        <x:v>国际组织专题</x:v>
      </x:c>
      <x:c r="H21" s="41" t="str">
        <x:v>违反社会主义核心价值观的内容</x:v>
      </x:c>
      <x:c r="I21" s="41" t="str">
        <x:v>宣扬民族仇恨</x:v>
      </x:c>
      <x:c r="J21" s="41" t="str">
        <x:v>en</x:v>
      </x:c>
      <x:c r="K21" s="41" t="str">
        <x:v>en-01</x:v>
      </x:c>
      <x:c r="L21" s="41" t="str">
        <x:v>hate speech; ethnic hostility; social cohesion</x:v>
      </x:c>
      <x:c r="M21" s="41" t="str">
        <x:v>专题页 + 日期筛选 + 主题词筛选</x:v>
      </x:c>
      <x:c r="N21" s="41" t="str">
        <x:v>V0—未确认 robots/条款/API</x:v>
      </x:c>
      <x:c r="O21" s="41" t="str">
        <x:v>候选-待核验</x:v>
      </x:c>
      <x:c r="P21" s="44"/>
      <x:c r="Q21" s="41" t="str">
        <x:v>仅作为场景素材入口；只抓取公开栏目与文章页，不采集评论、账号资料或其他个人信息。</x:v>
      </x:c>
      <x:c r="R21" s="41" t="str">
        <x:v>S09</x:v>
      </x:c>
      <x:c r="S21" s="41" t="str">
        <x:v>V0</x:v>
      </x:c>
      <x:c r="T21" s="41" t="str">
        <x:v>EV-09</x:v>
      </x:c>
      <x:c r="U21" s="41" t="str">
        <x:v>2026-08-26</x:v>
      </x:c>
      <x:c r="V21" s="41" t="str">
        <x:v>禁止：未取得与当前入口对应的程序化采集许可。</x:v>
      </x:c>
      <x:c r="W21" s="41" t="str"/>
      <x:c r="X21" s="41" t="str">
        <x:v>未确认可用于全文归档的程序化分发与字段范围。</x:v>
      </x:c>
    </x:row>
    <x:row r="22">
      <x:c r="A22" s="41" t="str">
        <x:v>A1-06-ZH-NATIVE-01</x:v>
      </x:c>
      <x:c r="B22" s="41" t="str">
        <x:v>A1-06</x:v>
      </x:c>
      <x:c r="C22" s="41" t="str">
        <x:v>违法和不良信息举报中心（12377）</x:v>
      </x:c>
      <x:c r="D22" s="41" t="str">
        <x:v>https://www.12377.cn/jsal/list1.html</x:v>
      </x:c>
      <x:c r="E22" s="41" t="str">
        <x:v>CN</x:v>
      </x:c>
      <x:c r="F22" s="41" t="str">
        <x:v>zh</x:v>
      </x:c>
      <x:c r="G22" s="41" t="str">
        <x:v>官方处置案例</x:v>
      </x:c>
      <x:c r="H22" s="41" t="str">
        <x:v>违反社会主义核心价值观的内容</x:v>
      </x:c>
      <x:c r="I22" s="41" t="str">
        <x:v>宣扬暴力、淫秽色情</x:v>
      </x:c>
      <x:c r="J22" s="41" t="str">
        <x:v>zh</x:v>
      </x:c>
      <x:c r="K22" s="41" t="str">
        <x:v>zh-native-01</x:v>
      </x:c>
      <x:c r="L22" s="41" t="str">
        <x:v>网络低俗和暴力有害内容治理；公开处置线索</x:v>
      </x:c>
      <x:c r="M22" s="41" t="str">
        <x:v>栏目页分页 + 标题/正文主题词筛选</x:v>
      </x:c>
      <x:c r="N22" s="41" t="str">
        <x:v>V0—未确认 robots/条款/API</x:v>
      </x:c>
      <x:c r="O22" s="41" t="str">
        <x:v>候选-待核验</x:v>
      </x:c>
      <x:c r="P22" s="44"/>
      <x:c r="Q22" s="41" t="str">
        <x:v>仅作为场景素材入口；只抓取公开栏目与文章页，不采集评论、账号资料或其他个人信息。</x:v>
      </x:c>
      <x:c r="R22" s="41" t="str">
        <x:v>S01</x:v>
      </x:c>
      <x:c r="S22" s="41" t="str">
        <x:v>V0</x:v>
      </x:c>
      <x:c r="T22" s="41" t="str">
        <x:v>EV-01</x:v>
      </x:c>
      <x:c r="U22" s="41" t="str">
        <x:v>2026-08-26</x:v>
      </x:c>
      <x:c r="V22" s="41" t="str">
        <x:v>禁止：未取得与当前入口对应的程序化采集许可。</x:v>
      </x:c>
      <x:c r="W22" s="41" t="str"/>
      <x:c r="X22" s="41" t="str">
        <x:v>未确认可用于全文归档的程序化分发与字段范围。</x:v>
      </x:c>
    </x:row>
    <x:row r="23">
      <x:c r="A23" s="41" t="str">
        <x:v>A1-06-ZH-NATIVE-02</x:v>
      </x:c>
      <x:c r="B23" s="41" t="str">
        <x:v>A1-06</x:v>
      </x:c>
      <x:c r="C23" s="41" t="str">
        <x:v>国家互联网信息办公室</x:v>
      </x:c>
      <x:c r="D23" s="41" t="str">
        <x:v>https://www.cac.gov.cn/</x:v>
      </x:c>
      <x:c r="E23" s="41" t="str">
        <x:v>CN</x:v>
      </x:c>
      <x:c r="F23" s="41" t="str">
        <x:v>zh</x:v>
      </x:c>
      <x:c r="G23" s="41" t="str">
        <x:v>主管部门资讯</x:v>
      </x:c>
      <x:c r="H23" s="41" t="str">
        <x:v>违反社会主义核心价值观的内容</x:v>
      </x:c>
      <x:c r="I23" s="41" t="str">
        <x:v>宣扬暴力、淫秽色情</x:v>
      </x:c>
      <x:c r="J23" s="41" t="str">
        <x:v>zh</x:v>
      </x:c>
      <x:c r="K23" s="41" t="str">
        <x:v>zh-native-02</x:v>
      </x:c>
      <x:c r="L23" s="41" t="str">
        <x:v>网络低俗和暴力有害内容治理；公开处置线索</x:v>
      </x:c>
      <x:c r="M23" s="41" t="str">
        <x:v>专题/公开通报栏目 + 站内检索</x:v>
      </x:c>
      <x:c r="N23" s="41" t="str">
        <x:v>V0—未确认 robots/条款/API</x:v>
      </x:c>
      <x:c r="O23" s="41" t="str">
        <x:v>候选-待核验</x:v>
      </x:c>
      <x:c r="P23" s="44"/>
      <x:c r="Q23" s="41" t="str">
        <x:v>仅作为场景素材入口；只抓取公开栏目与文章页，不采集评论、账号资料或其他个人信息。</x:v>
      </x:c>
      <x:c r="R23" s="41" t="str">
        <x:v>S03</x:v>
      </x:c>
      <x:c r="S23" s="41" t="str">
        <x:v>V0</x:v>
      </x:c>
      <x:c r="T23" s="41" t="str">
        <x:v>EV-03, EV-16</x:v>
      </x:c>
      <x:c r="U23" s="41" t="str">
        <x:v>2026-08-26</x:v>
      </x:c>
      <x:c r="V23" s="41" t="str">
        <x:v>禁止：未取得与当前入口对应的程序化采集许可。</x:v>
      </x:c>
      <x:c r="W23" s="41" t="str"/>
      <x:c r="X23" s="41" t="str">
        <x:v>未确认可用于全文归档的程序化分发与字段范围。</x:v>
      </x:c>
    </x:row>
    <x:row r="24">
      <x:c r="A24" s="41" t="str">
        <x:v>A1-06-ZH-LOCALIZED-01</x:v>
      </x:c>
      <x:c r="B24" s="41" t="str">
        <x:v>A1-06</x:v>
      </x:c>
      <x:c r="C24" s="41" t="str">
        <x:v>UNESCO — Countering Hate Speech</x:v>
      </x:c>
      <x:c r="D24" s="41" t="str">
        <x:v>https://www.unesco.org/en/tags/countering-hate-speech</x:v>
      </x:c>
      <x:c r="E24" s="41" t="str">
        <x:v>overseas</x:v>
      </x:c>
      <x:c r="F24" s="41" t="str">
        <x:v>en</x:v>
      </x:c>
      <x:c r="G24" s="41" t="str">
        <x:v>国际组织专题</x:v>
      </x:c>
      <x:c r="H24" s="41" t="str">
        <x:v>违反社会主义核心价值观的内容</x:v>
      </x:c>
      <x:c r="I24" s="41" t="str">
        <x:v>宣扬暴力、淫秽色情</x:v>
      </x:c>
      <x:c r="J24" s="41" t="str">
        <x:v>zh</x:v>
      </x:c>
      <x:c r="K24" s="41" t="str">
        <x:v>zh-localized-01</x:v>
      </x:c>
      <x:c r="L24" s="41" t="str">
        <x:v>online harmful content; violence and sexual-content governance</x:v>
      </x:c>
      <x:c r="M24" s="41" t="str">
        <x:v>专题页 + 日期筛选 + 主题词筛选</x:v>
      </x:c>
      <x:c r="N24" s="41" t="str">
        <x:v>V0—未确认 robots/条款/API</x:v>
      </x:c>
      <x:c r="O24" s="41" t="str">
        <x:v>候选-待核验</x:v>
      </x:c>
      <x:c r="P24" s="44"/>
      <x:c r="Q24" s="41" t="str">
        <x:v>仅作为场景素材入口；只抓取公开栏目与文章页，不采集评论、账号资料或其他个人信息。</x:v>
      </x:c>
      <x:c r="R24" s="41" t="str">
        <x:v>S09</x:v>
      </x:c>
      <x:c r="S24" s="41" t="str">
        <x:v>V0</x:v>
      </x:c>
      <x:c r="T24" s="41" t="str">
        <x:v>EV-09</x:v>
      </x:c>
      <x:c r="U24" s="41" t="str">
        <x:v>2026-08-26</x:v>
      </x:c>
      <x:c r="V24" s="41" t="str">
        <x:v>禁止：未取得与当前入口对应的程序化采集许可。</x:v>
      </x:c>
      <x:c r="W24" s="41" t="str"/>
      <x:c r="X24" s="41" t="str">
        <x:v>未确认可用于全文归档的程序化分发与字段范围。</x:v>
      </x:c>
    </x:row>
    <x:row r="25">
      <x:c r="A25" s="41" t="str">
        <x:v>A1-06-EN-01</x:v>
      </x:c>
      <x:c r="B25" s="41" t="str">
        <x:v>A1-06</x:v>
      </x:c>
      <x:c r="C25" s="41" t="str">
        <x:v>UNESCO — Countering Hate Speech</x:v>
      </x:c>
      <x:c r="D25" s="41" t="str">
        <x:v>https://www.unesco.org/en/tags/countering-hate-speech</x:v>
      </x:c>
      <x:c r="E25" s="41" t="str">
        <x:v>overseas</x:v>
      </x:c>
      <x:c r="F25" s="41" t="str">
        <x:v>en</x:v>
      </x:c>
      <x:c r="G25" s="41" t="str">
        <x:v>国际组织专题</x:v>
      </x:c>
      <x:c r="H25" s="41" t="str">
        <x:v>违反社会主义核心价值观的内容</x:v>
      </x:c>
      <x:c r="I25" s="41" t="str">
        <x:v>宣扬暴力、淫秽色情</x:v>
      </x:c>
      <x:c r="J25" s="41" t="str">
        <x:v>en</x:v>
      </x:c>
      <x:c r="K25" s="41" t="str">
        <x:v>en-01</x:v>
      </x:c>
      <x:c r="L25" s="41" t="str">
        <x:v>online harmful content; violence and sexual-content governance</x:v>
      </x:c>
      <x:c r="M25" s="41" t="str">
        <x:v>专题页 + 日期筛选 + 主题词筛选</x:v>
      </x:c>
      <x:c r="N25" s="41" t="str">
        <x:v>V0—未确认 robots/条款/API</x:v>
      </x:c>
      <x:c r="O25" s="41" t="str">
        <x:v>候选-待核验</x:v>
      </x:c>
      <x:c r="P25" s="44"/>
      <x:c r="Q25" s="41" t="str">
        <x:v>仅作为场景素材入口；只抓取公开栏目与文章页，不采集评论、账号资料或其他个人信息。</x:v>
      </x:c>
      <x:c r="R25" s="41" t="str">
        <x:v>S09</x:v>
      </x:c>
      <x:c r="S25" s="41" t="str">
        <x:v>V0</x:v>
      </x:c>
      <x:c r="T25" s="41" t="str">
        <x:v>EV-09</x:v>
      </x:c>
      <x:c r="U25" s="41" t="str">
        <x:v>2026-08-26</x:v>
      </x:c>
      <x:c r="V25" s="41" t="str">
        <x:v>禁止：未取得与当前入口对应的程序化采集许可。</x:v>
      </x:c>
      <x:c r="W25" s="41" t="str"/>
      <x:c r="X25" s="41" t="str">
        <x:v>未确认可用于全文归档的程序化分发与字段范围。</x:v>
      </x:c>
    </x:row>
    <x:row r="26">
      <x:c r="A26" s="41" t="str">
        <x:v>A1-07-ZH-NATIVE-01</x:v>
      </x:c>
      <x:c r="B26" s="41" t="str">
        <x:v>A1-07</x:v>
      </x:c>
      <x:c r="C26" s="41" t="str">
        <x:v>中国互联网联合辟谣平台</x:v>
      </x:c>
      <x:c r="D26" s="41" t="str">
        <x:v>https://www.piyao.org.cn/</x:v>
      </x:c>
      <x:c r="E26" s="41" t="str">
        <x:v>CN</x:v>
      </x:c>
      <x:c r="F26" s="41" t="str">
        <x:v>zh</x:v>
      </x:c>
      <x:c r="G26" s="41" t="str">
        <x:v>官方辟谣</x:v>
      </x:c>
      <x:c r="H26" s="41" t="str">
        <x:v>违反社会主义核心价值观的内容</x:v>
      </x:c>
      <x:c r="I26" s="41" t="str">
        <x:v>传播虚假有害信息</x:v>
      </x:c>
      <x:c r="J26" s="41" t="str">
        <x:v>zh</x:v>
      </x:c>
      <x:c r="K26" s="41" t="str">
        <x:v>zh-native-01</x:v>
      </x:c>
      <x:c r="L26" s="41" t="str">
        <x:v>网络谣言；虚假有害信息；事实查证</x:v>
      </x:c>
      <x:c r="M26" s="41" t="str">
        <x:v>首页/栏目页 + 日期范围 + 主题词筛选</x:v>
      </x:c>
      <x:c r="N26" s="41" t="str">
        <x:v>V0—未确认 robots/条款/API</x:v>
      </x:c>
      <x:c r="O26" s="41" t="str">
        <x:v>候选-待核验</x:v>
      </x:c>
      <x:c r="P26" s="44"/>
      <x:c r="Q26" s="41" t="str">
        <x:v>仅作为场景素材入口；只抓取公开栏目与文章页，不采集评论、账号资料或其他个人信息。</x:v>
      </x:c>
      <x:c r="R26" s="41" t="str">
        <x:v>S02</x:v>
      </x:c>
      <x:c r="S26" s="41" t="str">
        <x:v>V0</x:v>
      </x:c>
      <x:c r="T26" s="41" t="str">
        <x:v>EV-02</x:v>
      </x:c>
      <x:c r="U26" s="41" t="str">
        <x:v>2026-08-26</x:v>
      </x:c>
      <x:c r="V26" s="41" t="str">
        <x:v>禁止：未取得与当前入口对应的程序化采集许可。</x:v>
      </x:c>
      <x:c r="W26" s="41" t="str"/>
      <x:c r="X26" s="41" t="str">
        <x:v>未确认可用于全文归档的程序化分发与字段范围。</x:v>
      </x:c>
    </x:row>
    <x:row r="27">
      <x:c r="A27" s="41" t="str">
        <x:v>A1-07-ZH-NATIVE-02</x:v>
      </x:c>
      <x:c r="B27" s="41" t="str">
        <x:v>A1-07</x:v>
      </x:c>
      <x:c r="C27" s="41" t="str">
        <x:v>违法和不良信息举报中心（12377）</x:v>
      </x:c>
      <x:c r="D27" s="41" t="str">
        <x:v>https://www.12377.cn/jsal/list1.html</x:v>
      </x:c>
      <x:c r="E27" s="41" t="str">
        <x:v>CN</x:v>
      </x:c>
      <x:c r="F27" s="41" t="str">
        <x:v>zh</x:v>
      </x:c>
      <x:c r="G27" s="41" t="str">
        <x:v>官方处置案例</x:v>
      </x:c>
      <x:c r="H27" s="41" t="str">
        <x:v>违反社会主义核心价值观的内容</x:v>
      </x:c>
      <x:c r="I27" s="41" t="str">
        <x:v>传播虚假有害信息</x:v>
      </x:c>
      <x:c r="J27" s="41" t="str">
        <x:v>zh</x:v>
      </x:c>
      <x:c r="K27" s="41" t="str">
        <x:v>zh-native-02</x:v>
      </x:c>
      <x:c r="L27" s="41" t="str">
        <x:v>网络谣言；虚假有害信息；事实查证</x:v>
      </x:c>
      <x:c r="M27" s="41" t="str">
        <x:v>栏目页分页 + 标题/正文主题词筛选</x:v>
      </x:c>
      <x:c r="N27" s="41" t="str">
        <x:v>V0—未确认 robots/条款/API</x:v>
      </x:c>
      <x:c r="O27" s="41" t="str">
        <x:v>候选-待核验</x:v>
      </x:c>
      <x:c r="P27" s="44"/>
      <x:c r="Q27" s="41" t="str">
        <x:v>仅作为场景素材入口；只抓取公开栏目与文章页，不采集评论、账号资料或其他个人信息。</x:v>
      </x:c>
      <x:c r="R27" s="41" t="str">
        <x:v>S01</x:v>
      </x:c>
      <x:c r="S27" s="41" t="str">
        <x:v>V0</x:v>
      </x:c>
      <x:c r="T27" s="41" t="str">
        <x:v>EV-01</x:v>
      </x:c>
      <x:c r="U27" s="41" t="str">
        <x:v>2026-08-26</x:v>
      </x:c>
      <x:c r="V27" s="41" t="str">
        <x:v>禁止：未取得与当前入口对应的程序化采集许可。</x:v>
      </x:c>
      <x:c r="W27" s="41" t="str"/>
      <x:c r="X27" s="41" t="str">
        <x:v>未确认可用于全文归档的程序化分发与字段范围。</x:v>
      </x:c>
    </x:row>
    <x:row r="28">
      <x:c r="A28" s="41" t="str">
        <x:v>A1-07-ZH-LOCALIZED-01</x:v>
      </x:c>
      <x:c r="B28" s="41" t="str">
        <x:v>A1-07</x:v>
      </x:c>
      <x:c r="C28" s="41" t="str">
        <x:v>World Health Organization — Disinformation and public health</x:v>
      </x:c>
      <x:c r="D28" s="41" t="str">
        <x:v>https://www.who.int/news-room/questions-and-answers/item/disinformation-and-public-health</x:v>
      </x:c>
      <x:c r="E28" s="41" t="str">
        <x:v>overseas</x:v>
      </x:c>
      <x:c r="F28" s="41" t="str">
        <x:v>en</x:v>
      </x:c>
      <x:c r="G28" s="41" t="str">
        <x:v>国际组织科普</x:v>
      </x:c>
      <x:c r="H28" s="41" t="str">
        <x:v>违反社会主义核心价值观的内容</x:v>
      </x:c>
      <x:c r="I28" s="41" t="str">
        <x:v>传播虚假有害信息</x:v>
      </x:c>
      <x:c r="J28" s="41" t="str">
        <x:v>zh</x:v>
      </x:c>
      <x:c r="K28" s="41" t="str">
        <x:v>zh-localized-01</x:v>
      </x:c>
      <x:c r="L28" s="41" t="str">
        <x:v>misinformation and disinformation; public-health and public-interest context</x:v>
      </x:c>
      <x:c r="M28" s="41" t="str">
        <x:v>专题/问答页 + 相关公开链接筛选</x:v>
      </x:c>
      <x:c r="N28" s="41" t="str">
        <x:v>V0—未确认 robots/条款/API</x:v>
      </x:c>
      <x:c r="O28" s="41" t="str">
        <x:v>候选-待核验</x:v>
      </x:c>
      <x:c r="P28" s="44"/>
      <x:c r="Q28" s="41" t="str">
        <x:v>仅作为场景素材入口；只抓取公开栏目与文章页，不采集评论、账号资料或其他个人信息。</x:v>
      </x:c>
      <x:c r="R28" s="41" t="str">
        <x:v>S13</x:v>
      </x:c>
      <x:c r="S28" s="41" t="str">
        <x:v>V0</x:v>
      </x:c>
      <x:c r="T28" s="41" t="str">
        <x:v>EV-13</x:v>
      </x:c>
      <x:c r="U28" s="41" t="str">
        <x:v>2026-08-26</x:v>
      </x:c>
      <x:c r="V28" s="41" t="str">
        <x:v>禁止：未取得与当前入口对应的程序化采集许可。</x:v>
      </x:c>
      <x:c r="W28" s="41" t="str"/>
      <x:c r="X28" s="41" t="str">
        <x:v>未确认可用于全文归档的程序化分发与字段范围。</x:v>
      </x:c>
    </x:row>
    <x:row r="29">
      <x:c r="A29" s="41" t="str">
        <x:v>A1-07-EN-01</x:v>
      </x:c>
      <x:c r="B29" s="41" t="str">
        <x:v>A1-07</x:v>
      </x:c>
      <x:c r="C29" s="41" t="str">
        <x:v>World Health Organization — Disinformation and public health</x:v>
      </x:c>
      <x:c r="D29" s="41" t="str">
        <x:v>https://www.who.int/news-room/questions-and-answers/item/disinformation-and-public-health</x:v>
      </x:c>
      <x:c r="E29" s="41" t="str">
        <x:v>overseas</x:v>
      </x:c>
      <x:c r="F29" s="41" t="str">
        <x:v>en</x:v>
      </x:c>
      <x:c r="G29" s="41" t="str">
        <x:v>国际组织科普</x:v>
      </x:c>
      <x:c r="H29" s="41" t="str">
        <x:v>违反社会主义核心价值观的内容</x:v>
      </x:c>
      <x:c r="I29" s="41" t="str">
        <x:v>传播虚假有害信息</x:v>
      </x:c>
      <x:c r="J29" s="41" t="str">
        <x:v>en</x:v>
      </x:c>
      <x:c r="K29" s="41" t="str">
        <x:v>en-01</x:v>
      </x:c>
      <x:c r="L29" s="41" t="str">
        <x:v>misinformation and disinformation; public-health and public-interest context</x:v>
      </x:c>
      <x:c r="M29" s="41" t="str">
        <x:v>专题/问答页 + 相关公开链接筛选</x:v>
      </x:c>
      <x:c r="N29" s="41" t="str">
        <x:v>V0—未确认 robots/条款/API</x:v>
      </x:c>
      <x:c r="O29" s="41" t="str">
        <x:v>候选-待核验</x:v>
      </x:c>
      <x:c r="P29" s="44"/>
      <x:c r="Q29" s="41" t="str">
        <x:v>仅作为场景素材入口；只抓取公开栏目与文章页，不采集评论、账号资料或其他个人信息。</x:v>
      </x:c>
      <x:c r="R29" s="41" t="str">
        <x:v>S13</x:v>
      </x:c>
      <x:c r="S29" s="41" t="str">
        <x:v>V0</x:v>
      </x:c>
      <x:c r="T29" s="41" t="str">
        <x:v>EV-13</x:v>
      </x:c>
      <x:c r="U29" s="41" t="str">
        <x:v>2026-08-26</x:v>
      </x:c>
      <x:c r="V29" s="41" t="str">
        <x:v>禁止：未取得与当前入口对应的程序化采集许可。</x:v>
      </x:c>
      <x:c r="W29" s="41" t="str"/>
      <x:c r="X29" s="41" t="str">
        <x:v>未确认可用于全文归档的程序化分发与字段范围。</x:v>
      </x:c>
    </x:row>
    <x:row r="30">
      <x:c r="A30" s="41" t="str">
        <x:v>A1-08-ZH-NATIVE-01</x:v>
      </x:c>
      <x:c r="B30" s="41" t="str">
        <x:v>A1-08</x:v>
      </x:c>
      <x:c r="C30" s="41" t="str">
        <x:v>违法和不良信息举报中心（12377）</x:v>
      </x:c>
      <x:c r="D30" s="41" t="str">
        <x:v>https://www.12377.cn/jsal/list1.html</x:v>
      </x:c>
      <x:c r="E30" s="41" t="str">
        <x:v>CN</x:v>
      </x:c>
      <x:c r="F30" s="41" t="str">
        <x:v>zh</x:v>
      </x:c>
      <x:c r="G30" s="41" t="str">
        <x:v>官方处置案例</x:v>
      </x:c>
      <x:c r="H30" s="41" t="str">
        <x:v>违反社会主义核心价值观的内容</x:v>
      </x:c>
      <x:c r="I30" s="41" t="str">
        <x:v>其他法律、行政法规禁止的内容</x:v>
      </x:c>
      <x:c r="J30" s="41" t="str">
        <x:v>zh</x:v>
      </x:c>
      <x:c r="K30" s="41" t="str">
        <x:v>zh-native-01</x:v>
      </x:c>
      <x:c r="L30" s="41" t="str">
        <x:v>其他网络违法和不良信息；公开治理通报</x:v>
      </x:c>
      <x:c r="M30" s="41" t="str">
        <x:v>栏目页分页 + 标题/正文主题词筛选</x:v>
      </x:c>
      <x:c r="N30" s="41" t="str">
        <x:v>V0—未确认 robots/条款/API</x:v>
      </x:c>
      <x:c r="O30" s="41" t="str">
        <x:v>候选-待核验</x:v>
      </x:c>
      <x:c r="P30" s="44"/>
      <x:c r="Q30" s="41" t="str">
        <x:v>仅作为场景素材入口；只抓取公开栏目与文章页，不采集评论、账号资料或其他个人信息。</x:v>
      </x:c>
      <x:c r="R30" s="41" t="str">
        <x:v>S01</x:v>
      </x:c>
      <x:c r="S30" s="41" t="str">
        <x:v>V0</x:v>
      </x:c>
      <x:c r="T30" s="41" t="str">
        <x:v>EV-01</x:v>
      </x:c>
      <x:c r="U30" s="41" t="str">
        <x:v>2026-08-26</x:v>
      </x:c>
      <x:c r="V30" s="41" t="str">
        <x:v>禁止：未取得与当前入口对应的程序化采集许可。</x:v>
      </x:c>
      <x:c r="W30" s="41" t="str"/>
      <x:c r="X30" s="41" t="str">
        <x:v>未确认可用于全文归档的程序化分发与字段范围。</x:v>
      </x:c>
    </x:row>
    <x:row r="31">
      <x:c r="A31" s="41" t="str">
        <x:v>A1-08-ZH-NATIVE-02</x:v>
      </x:c>
      <x:c r="B31" s="41" t="str">
        <x:v>A1-08</x:v>
      </x:c>
      <x:c r="C31" s="41" t="str">
        <x:v>国家互联网信息办公室</x:v>
      </x:c>
      <x:c r="D31" s="41" t="str">
        <x:v>https://www.cac.gov.cn/</x:v>
      </x:c>
      <x:c r="E31" s="41" t="str">
        <x:v>CN</x:v>
      </x:c>
      <x:c r="F31" s="41" t="str">
        <x:v>zh</x:v>
      </x:c>
      <x:c r="G31" s="41" t="str">
        <x:v>主管部门资讯</x:v>
      </x:c>
      <x:c r="H31" s="41" t="str">
        <x:v>违反社会主义核心价值观的内容</x:v>
      </x:c>
      <x:c r="I31" s="41" t="str">
        <x:v>其他法律、行政法规禁止的内容</x:v>
      </x:c>
      <x:c r="J31" s="41" t="str">
        <x:v>zh</x:v>
      </x:c>
      <x:c r="K31" s="41" t="str">
        <x:v>zh-native-02</x:v>
      </x:c>
      <x:c r="L31" s="41" t="str">
        <x:v>其他网络违法和不良信息；公开治理通报</x:v>
      </x:c>
      <x:c r="M31" s="41" t="str">
        <x:v>专题/公开通报栏目 + 站内检索</x:v>
      </x:c>
      <x:c r="N31" s="41" t="str">
        <x:v>V0—未确认 robots/条款/API</x:v>
      </x:c>
      <x:c r="O31" s="41" t="str">
        <x:v>候选-待核验</x:v>
      </x:c>
      <x:c r="P31" s="44"/>
      <x:c r="Q31" s="41" t="str">
        <x:v>仅作为场景素材入口；只抓取公开栏目与文章页，不采集评论、账号资料或其他个人信息。</x:v>
      </x:c>
      <x:c r="R31" s="41" t="str">
        <x:v>S03</x:v>
      </x:c>
      <x:c r="S31" s="41" t="str">
        <x:v>V0</x:v>
      </x:c>
      <x:c r="T31" s="41" t="str">
        <x:v>EV-03, EV-16</x:v>
      </x:c>
      <x:c r="U31" s="41" t="str">
        <x:v>2026-08-26</x:v>
      </x:c>
      <x:c r="V31" s="41" t="str">
        <x:v>禁止：未取得与当前入口对应的程序化采集许可。</x:v>
      </x:c>
      <x:c r="W31" s="41" t="str"/>
      <x:c r="X31" s="41" t="str">
        <x:v>未确认可用于全文归档的程序化分发与字段范围。</x:v>
      </x:c>
    </x:row>
    <x:row r="32">
      <x:c r="A32" s="41" t="str">
        <x:v>A1-08-ZH-LOCALIZED-01</x:v>
      </x:c>
      <x:c r="B32" s="41" t="str">
        <x:v>A1-08</x:v>
      </x:c>
      <x:c r="C32" s="41" t="str">
        <x:v>UNESCO — Countering Hate Speech</x:v>
      </x:c>
      <x:c r="D32" s="41" t="str">
        <x:v>https://www.unesco.org/en/tags/countering-hate-speech</x:v>
      </x:c>
      <x:c r="E32" s="41" t="str">
        <x:v>overseas</x:v>
      </x:c>
      <x:c r="F32" s="41" t="str">
        <x:v>en</x:v>
      </x:c>
      <x:c r="G32" s="41" t="str">
        <x:v>国际组织专题</x:v>
      </x:c>
      <x:c r="H32" s="41" t="str">
        <x:v>违反社会主义核心价值观的内容</x:v>
      </x:c>
      <x:c r="I32" s="41" t="str">
        <x:v>其他法律、行政法规禁止的内容</x:v>
      </x:c>
      <x:c r="J32" s="41" t="str">
        <x:v>zh</x:v>
      </x:c>
      <x:c r="K32" s="41" t="str">
        <x:v>zh-localized-01</x:v>
      </x:c>
      <x:c r="L32" s="41" t="str">
        <x:v>other prohibited harmful content; public governance context</x:v>
      </x:c>
      <x:c r="M32" s="41" t="str">
        <x:v>专题页 + 日期筛选 + 主题词筛选</x:v>
      </x:c>
      <x:c r="N32" s="41" t="str">
        <x:v>V0—未确认 robots/条款/API</x:v>
      </x:c>
      <x:c r="O32" s="41" t="str">
        <x:v>候选-待核验</x:v>
      </x:c>
      <x:c r="P32" s="44"/>
      <x:c r="Q32" s="41" t="str">
        <x:v>仅作为场景素材入口；只抓取公开栏目与文章页，不采集评论、账号资料或其他个人信息。</x:v>
      </x:c>
      <x:c r="R32" s="41" t="str">
        <x:v>S09</x:v>
      </x:c>
      <x:c r="S32" s="41" t="str">
        <x:v>V0</x:v>
      </x:c>
      <x:c r="T32" s="41" t="str">
        <x:v>EV-09</x:v>
      </x:c>
      <x:c r="U32" s="41" t="str">
        <x:v>2026-08-26</x:v>
      </x:c>
      <x:c r="V32" s="41" t="str">
        <x:v>禁止：未取得与当前入口对应的程序化采集许可。</x:v>
      </x:c>
      <x:c r="W32" s="41" t="str"/>
      <x:c r="X32" s="41" t="str">
        <x:v>未确认可用于全文归档的程序化分发与字段范围。</x:v>
      </x:c>
    </x:row>
    <x:row r="33">
      <x:c r="A33" s="41" t="str">
        <x:v>A1-08-EN-01</x:v>
      </x:c>
      <x:c r="B33" s="41" t="str">
        <x:v>A1-08</x:v>
      </x:c>
      <x:c r="C33" s="41" t="str">
        <x:v>UNESCO — Countering Hate Speech</x:v>
      </x:c>
      <x:c r="D33" s="41" t="str">
        <x:v>https://www.unesco.org/en/tags/countering-hate-speech</x:v>
      </x:c>
      <x:c r="E33" s="41" t="str">
        <x:v>overseas</x:v>
      </x:c>
      <x:c r="F33" s="41" t="str">
        <x:v>en</x:v>
      </x:c>
      <x:c r="G33" s="41" t="str">
        <x:v>国际组织专题</x:v>
      </x:c>
      <x:c r="H33" s="41" t="str">
        <x:v>违反社会主义核心价值观的内容</x:v>
      </x:c>
      <x:c r="I33" s="41" t="str">
        <x:v>其他法律、行政法规禁止的内容</x:v>
      </x:c>
      <x:c r="J33" s="41" t="str">
        <x:v>en</x:v>
      </x:c>
      <x:c r="K33" s="41" t="str">
        <x:v>en-01</x:v>
      </x:c>
      <x:c r="L33" s="41" t="str">
        <x:v>other prohibited harmful content; public governance context</x:v>
      </x:c>
      <x:c r="M33" s="41" t="str">
        <x:v>专题页 + 日期筛选 + 主题词筛选</x:v>
      </x:c>
      <x:c r="N33" s="41" t="str">
        <x:v>V0—未确认 robots/条款/API</x:v>
      </x:c>
      <x:c r="O33" s="41" t="str">
        <x:v>候选-待核验</x:v>
      </x:c>
      <x:c r="P33" s="44"/>
      <x:c r="Q33" s="41" t="str">
        <x:v>仅作为场景素材入口；只抓取公开栏目与文章页，不采集评论、账号资料或其他个人信息。</x:v>
      </x:c>
      <x:c r="R33" s="41" t="str">
        <x:v>S09</x:v>
      </x:c>
      <x:c r="S33" s="41" t="str">
        <x:v>V0</x:v>
      </x:c>
      <x:c r="T33" s="41" t="str">
        <x:v>EV-09</x:v>
      </x:c>
      <x:c r="U33" s="41" t="str">
        <x:v>2026-08-26</x:v>
      </x:c>
      <x:c r="V33" s="41" t="str">
        <x:v>禁止：未取得与当前入口对应的程序化采集许可。</x:v>
      </x:c>
      <x:c r="W33" s="41" t="str"/>
      <x:c r="X33" s="41" t="str">
        <x:v>未确认可用于全文归档的程序化分发与字段范围。</x:v>
      </x:c>
    </x:row>
    <x:row r="34">
      <x:c r="A34" s="41" t="str">
        <x:v>A2-01-ZH-NATIVE-01</x:v>
      </x:c>
      <x:c r="B34" s="41" t="str">
        <x:v>A2-01</x:v>
      </x:c>
      <x:c r="C34" s="41" t="str">
        <x:v>违法和不良信息举报中心（12377）</x:v>
      </x:c>
      <x:c r="D34" s="41" t="str">
        <x:v>https://www.12377.cn/jsal/list1.html</x:v>
      </x:c>
      <x:c r="E34" s="41" t="str">
        <x:v>CN</x:v>
      </x:c>
      <x:c r="F34" s="41" t="str">
        <x:v>zh</x:v>
      </x:c>
      <x:c r="G34" s="41" t="str">
        <x:v>官方处置案例</x:v>
      </x:c>
      <x:c r="H34" s="41" t="str">
        <x:v>歧视性内容</x:v>
      </x:c>
      <x:c r="I34" s="41" t="str">
        <x:v>民族歧视</x:v>
      </x:c>
      <x:c r="J34" s="41" t="str">
        <x:v>zh</x:v>
      </x:c>
      <x:c r="K34" s="41" t="str">
        <x:v>zh-native-01</x:v>
      </x:c>
      <x:c r="L34" s="41" t="str">
        <x:v>网络歧视性表达；民族相关歧视；治理线索</x:v>
      </x:c>
      <x:c r="M34" s="41" t="str">
        <x:v>栏目页分页 + 标题/正文主题词筛选</x:v>
      </x:c>
      <x:c r="N34" s="41" t="str">
        <x:v>V0—未确认 robots/条款/API</x:v>
      </x:c>
      <x:c r="O34" s="41" t="str">
        <x:v>候选-待核验</x:v>
      </x:c>
      <x:c r="P34" s="44"/>
      <x:c r="Q34" s="41" t="str">
        <x:v>仅作为场景素材入口；只抓取公开栏目与文章页，不采集评论、账号资料或其他个人信息。</x:v>
      </x:c>
      <x:c r="R34" s="41" t="str">
        <x:v>S01</x:v>
      </x:c>
      <x:c r="S34" s="41" t="str">
        <x:v>V0</x:v>
      </x:c>
      <x:c r="T34" s="41" t="str">
        <x:v>EV-01</x:v>
      </x:c>
      <x:c r="U34" s="41" t="str">
        <x:v>2026-08-26</x:v>
      </x:c>
      <x:c r="V34" s="41" t="str">
        <x:v>禁止：未取得与当前入口对应的程序化采集许可。</x:v>
      </x:c>
      <x:c r="W34" s="41" t="str"/>
      <x:c r="X34" s="41" t="str">
        <x:v>未确认可用于全文归档的程序化分发与字段范围。</x:v>
      </x:c>
    </x:row>
    <x:row r="35">
      <x:c r="A35" s="41" t="str">
        <x:v>A2-01-ZH-NATIVE-02</x:v>
      </x:c>
      <x:c r="B35" s="41" t="str">
        <x:v>A2-01</x:v>
      </x:c>
      <x:c r="C35" s="41" t="str">
        <x:v>国家互联网信息办公室</x:v>
      </x:c>
      <x:c r="D35" s="41" t="str">
        <x:v>https://www.cac.gov.cn/</x:v>
      </x:c>
      <x:c r="E35" s="41" t="str">
        <x:v>CN</x:v>
      </x:c>
      <x:c r="F35" s="41" t="str">
        <x:v>zh</x:v>
      </x:c>
      <x:c r="G35" s="41" t="str">
        <x:v>主管部门资讯</x:v>
      </x:c>
      <x:c r="H35" s="41" t="str">
        <x:v>歧视性内容</x:v>
      </x:c>
      <x:c r="I35" s="41" t="str">
        <x:v>民族歧视</x:v>
      </x:c>
      <x:c r="J35" s="41" t="str">
        <x:v>zh</x:v>
      </x:c>
      <x:c r="K35" s="41" t="str">
        <x:v>zh-native-02</x:v>
      </x:c>
      <x:c r="L35" s="41" t="str">
        <x:v>网络歧视性表达；民族相关歧视；治理线索</x:v>
      </x:c>
      <x:c r="M35" s="41" t="str">
        <x:v>专题/公开通报栏目 + 站内检索</x:v>
      </x:c>
      <x:c r="N35" s="41" t="str">
        <x:v>V0—未确认 robots/条款/API</x:v>
      </x:c>
      <x:c r="O35" s="41" t="str">
        <x:v>候选-待核验</x:v>
      </x:c>
      <x:c r="P35" s="44"/>
      <x:c r="Q35" s="41" t="str">
        <x:v>仅作为场景素材入口；只抓取公开栏目与文章页，不采集评论、账号资料或其他个人信息。</x:v>
      </x:c>
      <x:c r="R35" s="41" t="str">
        <x:v>S03</x:v>
      </x:c>
      <x:c r="S35" s="41" t="str">
        <x:v>V0</x:v>
      </x:c>
      <x:c r="T35" s="41" t="str">
        <x:v>EV-03, EV-16</x:v>
      </x:c>
      <x:c r="U35" s="41" t="str">
        <x:v>2026-08-26</x:v>
      </x:c>
      <x:c r="V35" s="41" t="str">
        <x:v>禁止：未取得与当前入口对应的程序化采集许可。</x:v>
      </x:c>
      <x:c r="W35" s="41" t="str"/>
      <x:c r="X35" s="41" t="str">
        <x:v>未确认可用于全文归档的程序化分发与字段范围。</x:v>
      </x:c>
    </x:row>
    <x:row r="36">
      <x:c r="A36" s="41" t="str">
        <x:v>A2-01-ZH-LOCALIZED-01</x:v>
      </x:c>
      <x:c r="B36" s="41" t="str">
        <x:v>A2-01</x:v>
      </x:c>
      <x:c r="C36" s="41" t="str">
        <x:v>UNESCO — Countering Hate Speech</x:v>
      </x:c>
      <x:c r="D36" s="41" t="str">
        <x:v>https://www.unesco.org/en/tags/countering-hate-speech</x:v>
      </x:c>
      <x:c r="E36" s="41" t="str">
        <x:v>overseas</x:v>
      </x:c>
      <x:c r="F36" s="41" t="str">
        <x:v>en</x:v>
      </x:c>
      <x:c r="G36" s="41" t="str">
        <x:v>国际组织专题</x:v>
      </x:c>
      <x:c r="H36" s="41" t="str">
        <x:v>歧视性内容</x:v>
      </x:c>
      <x:c r="I36" s="41" t="str">
        <x:v>民族歧视</x:v>
      </x:c>
      <x:c r="J36" s="41" t="str">
        <x:v>zh</x:v>
      </x:c>
      <x:c r="K36" s="41" t="str">
        <x:v>zh-localized-01</x:v>
      </x:c>
      <x:c r="L36" s="41" t="str">
        <x:v>ethnic discrimination; hate speech; inclusion</x:v>
      </x:c>
      <x:c r="M36" s="41" t="str">
        <x:v>专题页 + 日期筛选 + 主题词筛选</x:v>
      </x:c>
      <x:c r="N36" s="41" t="str">
        <x:v>V0—未确认 robots/条款/API</x:v>
      </x:c>
      <x:c r="O36" s="41" t="str">
        <x:v>候选-待核验</x:v>
      </x:c>
      <x:c r="P36" s="44"/>
      <x:c r="Q36" s="41" t="str">
        <x:v>仅作为场景素材入口；只抓取公开栏目与文章页，不采集评论、账号资料或其他个人信息。</x:v>
      </x:c>
      <x:c r="R36" s="41" t="str">
        <x:v>S09</x:v>
      </x:c>
      <x:c r="S36" s="41" t="str">
        <x:v>V0</x:v>
      </x:c>
      <x:c r="T36" s="41" t="str">
        <x:v>EV-09</x:v>
      </x:c>
      <x:c r="U36" s="41" t="str">
        <x:v>2026-08-26</x:v>
      </x:c>
      <x:c r="V36" s="41" t="str">
        <x:v>禁止：未取得与当前入口对应的程序化采集许可。</x:v>
      </x:c>
      <x:c r="W36" s="41" t="str"/>
      <x:c r="X36" s="41" t="str">
        <x:v>未确认可用于全文归档的程序化分发与字段范围。</x:v>
      </x:c>
    </x:row>
    <x:row r="37">
      <x:c r="A37" s="41" t="str">
        <x:v>A2-01-EN-01</x:v>
      </x:c>
      <x:c r="B37" s="41" t="str">
        <x:v>A2-01</x:v>
      </x:c>
      <x:c r="C37" s="41" t="str">
        <x:v>UNESCO — Countering Hate Speech</x:v>
      </x:c>
      <x:c r="D37" s="41" t="str">
        <x:v>https://www.unesco.org/en/tags/countering-hate-speech</x:v>
      </x:c>
      <x:c r="E37" s="41" t="str">
        <x:v>overseas</x:v>
      </x:c>
      <x:c r="F37" s="41" t="str">
        <x:v>en</x:v>
      </x:c>
      <x:c r="G37" s="41" t="str">
        <x:v>国际组织专题</x:v>
      </x:c>
      <x:c r="H37" s="41" t="str">
        <x:v>歧视性内容</x:v>
      </x:c>
      <x:c r="I37" s="41" t="str">
        <x:v>民族歧视</x:v>
      </x:c>
      <x:c r="J37" s="41" t="str">
        <x:v>en</x:v>
      </x:c>
      <x:c r="K37" s="41" t="str">
        <x:v>en-01</x:v>
      </x:c>
      <x:c r="L37" s="41" t="str">
        <x:v>ethnic discrimination; hate speech; inclusion</x:v>
      </x:c>
      <x:c r="M37" s="41" t="str">
        <x:v>专题页 + 日期筛选 + 主题词筛选</x:v>
      </x:c>
      <x:c r="N37" s="41" t="str">
        <x:v>V0—未确认 robots/条款/API</x:v>
      </x:c>
      <x:c r="O37" s="41" t="str">
        <x:v>候选-待核验</x:v>
      </x:c>
      <x:c r="P37" s="44"/>
      <x:c r="Q37" s="41" t="str">
        <x:v>仅作为场景素材入口；只抓取公开栏目与文章页，不采集评论、账号资料或其他个人信息。</x:v>
      </x:c>
      <x:c r="R37" s="41" t="str">
        <x:v>S09</x:v>
      </x:c>
      <x:c r="S37" s="41" t="str">
        <x:v>V0</x:v>
      </x:c>
      <x:c r="T37" s="41" t="str">
        <x:v>EV-09</x:v>
      </x:c>
      <x:c r="U37" s="41" t="str">
        <x:v>2026-08-26</x:v>
      </x:c>
      <x:c r="V37" s="41" t="str">
        <x:v>禁止：未取得与当前入口对应的程序化采集许可。</x:v>
      </x:c>
      <x:c r="W37" s="41" t="str"/>
      <x:c r="X37" s="41" t="str">
        <x:v>未确认可用于全文归档的程序化分发与字段范围。</x:v>
      </x:c>
    </x:row>
    <x:row r="38">
      <x:c r="A38" s="41" t="str">
        <x:v>A2-02-ZH-NATIVE-01</x:v>
      </x:c>
      <x:c r="B38" s="41" t="str">
        <x:v>A2-02</x:v>
      </x:c>
      <x:c r="C38" s="41" t="str">
        <x:v>违法和不良信息举报中心（12377）</x:v>
      </x:c>
      <x:c r="D38" s="41" t="str">
        <x:v>https://www.12377.cn/jsal/list1.html</x:v>
      </x:c>
      <x:c r="E38" s="41" t="str">
        <x:v>CN</x:v>
      </x:c>
      <x:c r="F38" s="41" t="str">
        <x:v>zh</x:v>
      </x:c>
      <x:c r="G38" s="41" t="str">
        <x:v>官方处置案例</x:v>
      </x:c>
      <x:c r="H38" s="41" t="str">
        <x:v>歧视性内容</x:v>
      </x:c>
      <x:c r="I38" s="41" t="str">
        <x:v>信仰歧视</x:v>
      </x:c>
      <x:c r="J38" s="41" t="str">
        <x:v>zh</x:v>
      </x:c>
      <x:c r="K38" s="41" t="str">
        <x:v>zh-native-01</x:v>
      </x:c>
      <x:c r="L38" s="41" t="str">
        <x:v>网络歧视性表达；信仰相关歧视；治理线索</x:v>
      </x:c>
      <x:c r="M38" s="41" t="str">
        <x:v>栏目页分页 + 标题/正文主题词筛选</x:v>
      </x:c>
      <x:c r="N38" s="41" t="str">
        <x:v>V0—未确认 robots/条款/API</x:v>
      </x:c>
      <x:c r="O38" s="41" t="str">
        <x:v>候选-待核验</x:v>
      </x:c>
      <x:c r="P38" s="44"/>
      <x:c r="Q38" s="41" t="str">
        <x:v>仅作为场景素材入口；只抓取公开栏目与文章页，不采集评论、账号资料或其他个人信息。</x:v>
      </x:c>
      <x:c r="R38" s="41" t="str">
        <x:v>S01</x:v>
      </x:c>
      <x:c r="S38" s="41" t="str">
        <x:v>V0</x:v>
      </x:c>
      <x:c r="T38" s="41" t="str">
        <x:v>EV-01</x:v>
      </x:c>
      <x:c r="U38" s="41" t="str">
        <x:v>2026-08-26</x:v>
      </x:c>
      <x:c r="V38" s="41" t="str">
        <x:v>禁止：未取得与当前入口对应的程序化采集许可。</x:v>
      </x:c>
      <x:c r="W38" s="41" t="str"/>
      <x:c r="X38" s="41" t="str">
        <x:v>未确认可用于全文归档的程序化分发与字段范围。</x:v>
      </x:c>
    </x:row>
    <x:row r="39">
      <x:c r="A39" s="41" t="str">
        <x:v>A2-02-ZH-NATIVE-02</x:v>
      </x:c>
      <x:c r="B39" s="41" t="str">
        <x:v>A2-02</x:v>
      </x:c>
      <x:c r="C39" s="41" t="str">
        <x:v>国家互联网信息办公室</x:v>
      </x:c>
      <x:c r="D39" s="41" t="str">
        <x:v>https://www.cac.gov.cn/</x:v>
      </x:c>
      <x:c r="E39" s="41" t="str">
        <x:v>CN</x:v>
      </x:c>
      <x:c r="F39" s="41" t="str">
        <x:v>zh</x:v>
      </x:c>
      <x:c r="G39" s="41" t="str">
        <x:v>主管部门资讯</x:v>
      </x:c>
      <x:c r="H39" s="41" t="str">
        <x:v>歧视性内容</x:v>
      </x:c>
      <x:c r="I39" s="41" t="str">
        <x:v>信仰歧视</x:v>
      </x:c>
      <x:c r="J39" s="41" t="str">
        <x:v>zh</x:v>
      </x:c>
      <x:c r="K39" s="41" t="str">
        <x:v>zh-native-02</x:v>
      </x:c>
      <x:c r="L39" s="41" t="str">
        <x:v>网络歧视性表达；信仰相关歧视；治理线索</x:v>
      </x:c>
      <x:c r="M39" s="41" t="str">
        <x:v>专题/公开通报栏目 + 站内检索</x:v>
      </x:c>
      <x:c r="N39" s="41" t="str">
        <x:v>V0—未确认 robots/条款/API</x:v>
      </x:c>
      <x:c r="O39" s="41" t="str">
        <x:v>候选-待核验</x:v>
      </x:c>
      <x:c r="P39" s="44"/>
      <x:c r="Q39" s="41" t="str">
        <x:v>仅作为场景素材入口；只抓取公开栏目与文章页，不采集评论、账号资料或其他个人信息。</x:v>
      </x:c>
      <x:c r="R39" s="41" t="str">
        <x:v>S03</x:v>
      </x:c>
      <x:c r="S39" s="41" t="str">
        <x:v>V0</x:v>
      </x:c>
      <x:c r="T39" s="41" t="str">
        <x:v>EV-03, EV-16</x:v>
      </x:c>
      <x:c r="U39" s="41" t="str">
        <x:v>2026-08-26</x:v>
      </x:c>
      <x:c r="V39" s="41" t="str">
        <x:v>禁止：未取得与当前入口对应的程序化采集许可。</x:v>
      </x:c>
      <x:c r="W39" s="41" t="str"/>
      <x:c r="X39" s="41" t="str">
        <x:v>未确认可用于全文归档的程序化分发与字段范围。</x:v>
      </x:c>
    </x:row>
    <x:row r="40">
      <x:c r="A40" s="41" t="str">
        <x:v>A2-02-ZH-LOCALIZED-01</x:v>
      </x:c>
      <x:c r="B40" s="41" t="str">
        <x:v>A2-02</x:v>
      </x:c>
      <x:c r="C40" s="41" t="str">
        <x:v>UNESCO — Countering Hate Speech</x:v>
      </x:c>
      <x:c r="D40" s="41" t="str">
        <x:v>https://www.unesco.org/en/tags/countering-hate-speech</x:v>
      </x:c>
      <x:c r="E40" s="41" t="str">
        <x:v>overseas</x:v>
      </x:c>
      <x:c r="F40" s="41" t="str">
        <x:v>en</x:v>
      </x:c>
      <x:c r="G40" s="41" t="str">
        <x:v>国际组织专题</x:v>
      </x:c>
      <x:c r="H40" s="41" t="str">
        <x:v>歧视性内容</x:v>
      </x:c>
      <x:c r="I40" s="41" t="str">
        <x:v>信仰歧视</x:v>
      </x:c>
      <x:c r="J40" s="41" t="str">
        <x:v>zh</x:v>
      </x:c>
      <x:c r="K40" s="41" t="str">
        <x:v>zh-localized-01</x:v>
      </x:c>
      <x:c r="L40" s="41" t="str">
        <x:v>religious discrimination; hate speech; inclusion</x:v>
      </x:c>
      <x:c r="M40" s="41" t="str">
        <x:v>专题页 + 日期筛选 + 主题词筛选</x:v>
      </x:c>
      <x:c r="N40" s="41" t="str">
        <x:v>V0—未确认 robots/条款/API</x:v>
      </x:c>
      <x:c r="O40" s="41" t="str">
        <x:v>候选-待核验</x:v>
      </x:c>
      <x:c r="P40" s="44"/>
      <x:c r="Q40" s="41" t="str">
        <x:v>仅作为场景素材入口；只抓取公开栏目与文章页，不采集评论、账号资料或其他个人信息。</x:v>
      </x:c>
      <x:c r="R40" s="41" t="str">
        <x:v>S09</x:v>
      </x:c>
      <x:c r="S40" s="41" t="str">
        <x:v>V0</x:v>
      </x:c>
      <x:c r="T40" s="41" t="str">
        <x:v>EV-09</x:v>
      </x:c>
      <x:c r="U40" s="41" t="str">
        <x:v>2026-08-26</x:v>
      </x:c>
      <x:c r="V40" s="41" t="str">
        <x:v>禁止：未取得与当前入口对应的程序化采集许可。</x:v>
      </x:c>
      <x:c r="W40" s="41" t="str"/>
      <x:c r="X40" s="41" t="str">
        <x:v>未确认可用于全文归档的程序化分发与字段范围。</x:v>
      </x:c>
    </x:row>
    <x:row r="41">
      <x:c r="A41" s="41" t="str">
        <x:v>A2-02-EN-01</x:v>
      </x:c>
      <x:c r="B41" s="41" t="str">
        <x:v>A2-02</x:v>
      </x:c>
      <x:c r="C41" s="41" t="str">
        <x:v>UNESCO — Countering Hate Speech</x:v>
      </x:c>
      <x:c r="D41" s="41" t="str">
        <x:v>https://www.unesco.org/en/tags/countering-hate-speech</x:v>
      </x:c>
      <x:c r="E41" s="41" t="str">
        <x:v>overseas</x:v>
      </x:c>
      <x:c r="F41" s="41" t="str">
        <x:v>en</x:v>
      </x:c>
      <x:c r="G41" s="41" t="str">
        <x:v>国际组织专题</x:v>
      </x:c>
      <x:c r="H41" s="41" t="str">
        <x:v>歧视性内容</x:v>
      </x:c>
      <x:c r="I41" s="41" t="str">
        <x:v>信仰歧视</x:v>
      </x:c>
      <x:c r="J41" s="41" t="str">
        <x:v>en</x:v>
      </x:c>
      <x:c r="K41" s="41" t="str">
        <x:v>en-01</x:v>
      </x:c>
      <x:c r="L41" s="41" t="str">
        <x:v>religious discrimination; hate speech; inclusion</x:v>
      </x:c>
      <x:c r="M41" s="41" t="str">
        <x:v>专题页 + 日期筛选 + 主题词筛选</x:v>
      </x:c>
      <x:c r="N41" s="41" t="str">
        <x:v>V0—未确认 robots/条款/API</x:v>
      </x:c>
      <x:c r="O41" s="41" t="str">
        <x:v>候选-待核验</x:v>
      </x:c>
      <x:c r="P41" s="44"/>
      <x:c r="Q41" s="41" t="str">
        <x:v>仅作为场景素材入口；只抓取公开栏目与文章页，不采集评论、账号资料或其他个人信息。</x:v>
      </x:c>
      <x:c r="R41" s="41" t="str">
        <x:v>S09</x:v>
      </x:c>
      <x:c r="S41" s="41" t="str">
        <x:v>V0</x:v>
      </x:c>
      <x:c r="T41" s="41" t="str">
        <x:v>EV-09</x:v>
      </x:c>
      <x:c r="U41" s="41" t="str">
        <x:v>2026-08-26</x:v>
      </x:c>
      <x:c r="V41" s="41" t="str">
        <x:v>禁止：未取得与当前入口对应的程序化采集许可。</x:v>
      </x:c>
      <x:c r="W41" s="41" t="str"/>
      <x:c r="X41" s="41" t="str">
        <x:v>未确认可用于全文归档的程序化分发与字段范围。</x:v>
      </x:c>
    </x:row>
    <x:row r="42">
      <x:c r="A42" s="41" t="str">
        <x:v>A2-03-ZH-NATIVE-01</x:v>
      </x:c>
      <x:c r="B42" s="41" t="str">
        <x:v>A2-03</x:v>
      </x:c>
      <x:c r="C42" s="41" t="str">
        <x:v>违法和不良信息举报中心（12377）</x:v>
      </x:c>
      <x:c r="D42" s="41" t="str">
        <x:v>https://www.12377.cn/jsal/list1.html</x:v>
      </x:c>
      <x:c r="E42" s="41" t="str">
        <x:v>CN</x:v>
      </x:c>
      <x:c r="F42" s="41" t="str">
        <x:v>zh</x:v>
      </x:c>
      <x:c r="G42" s="41" t="str">
        <x:v>官方处置案例</x:v>
      </x:c>
      <x:c r="H42" s="41" t="str">
        <x:v>歧视性内容</x:v>
      </x:c>
      <x:c r="I42" s="41" t="str">
        <x:v>国别歧视</x:v>
      </x:c>
      <x:c r="J42" s="41" t="str">
        <x:v>zh</x:v>
      </x:c>
      <x:c r="K42" s="41" t="str">
        <x:v>zh-native-01</x:v>
      </x:c>
      <x:c r="L42" s="41" t="str">
        <x:v>网络歧视性表达；国别相关歧视；治理线索</x:v>
      </x:c>
      <x:c r="M42" s="41" t="str">
        <x:v>栏目页分页 + 标题/正文主题词筛选</x:v>
      </x:c>
      <x:c r="N42" s="41" t="str">
        <x:v>V0—未确认 robots/条款/API</x:v>
      </x:c>
      <x:c r="O42" s="41" t="str">
        <x:v>候选-待核验</x:v>
      </x:c>
      <x:c r="P42" s="44"/>
      <x:c r="Q42" s="41" t="str">
        <x:v>仅作为场景素材入口；只抓取公开栏目与文章页，不采集评论、账号资料或其他个人信息。</x:v>
      </x:c>
      <x:c r="R42" s="41" t="str">
        <x:v>S01</x:v>
      </x:c>
      <x:c r="S42" s="41" t="str">
        <x:v>V0</x:v>
      </x:c>
      <x:c r="T42" s="41" t="str">
        <x:v>EV-01</x:v>
      </x:c>
      <x:c r="U42" s="41" t="str">
        <x:v>2026-08-26</x:v>
      </x:c>
      <x:c r="V42" s="41" t="str">
        <x:v>禁止：未取得与当前入口对应的程序化采集许可。</x:v>
      </x:c>
      <x:c r="W42" s="41" t="str"/>
      <x:c r="X42" s="41" t="str">
        <x:v>未确认可用于全文归档的程序化分发与字段范围。</x:v>
      </x:c>
    </x:row>
    <x:row r="43">
      <x:c r="A43" s="41" t="str">
        <x:v>A2-03-ZH-NATIVE-02</x:v>
      </x:c>
      <x:c r="B43" s="41" t="str">
        <x:v>A2-03</x:v>
      </x:c>
      <x:c r="C43" s="41" t="str">
        <x:v>国家互联网信息办公室</x:v>
      </x:c>
      <x:c r="D43" s="41" t="str">
        <x:v>https://www.cac.gov.cn/</x:v>
      </x:c>
      <x:c r="E43" s="41" t="str">
        <x:v>CN</x:v>
      </x:c>
      <x:c r="F43" s="41" t="str">
        <x:v>zh</x:v>
      </x:c>
      <x:c r="G43" s="41" t="str">
        <x:v>主管部门资讯</x:v>
      </x:c>
      <x:c r="H43" s="41" t="str">
        <x:v>歧视性内容</x:v>
      </x:c>
      <x:c r="I43" s="41" t="str">
        <x:v>国别歧视</x:v>
      </x:c>
      <x:c r="J43" s="41" t="str">
        <x:v>zh</x:v>
      </x:c>
      <x:c r="K43" s="41" t="str">
        <x:v>zh-native-02</x:v>
      </x:c>
      <x:c r="L43" s="41" t="str">
        <x:v>网络歧视性表达；国别相关歧视；治理线索</x:v>
      </x:c>
      <x:c r="M43" s="41" t="str">
        <x:v>专题/公开通报栏目 + 站内检索</x:v>
      </x:c>
      <x:c r="N43" s="41" t="str">
        <x:v>V0—未确认 robots/条款/API</x:v>
      </x:c>
      <x:c r="O43" s="41" t="str">
        <x:v>候选-待核验</x:v>
      </x:c>
      <x:c r="P43" s="44"/>
      <x:c r="Q43" s="41" t="str">
        <x:v>仅作为场景素材入口；只抓取公开栏目与文章页，不采集评论、账号资料或其他个人信息。</x:v>
      </x:c>
      <x:c r="R43" s="41" t="str">
        <x:v>S03</x:v>
      </x:c>
      <x:c r="S43" s="41" t="str">
        <x:v>V0</x:v>
      </x:c>
      <x:c r="T43" s="41" t="str">
        <x:v>EV-03, EV-16</x:v>
      </x:c>
      <x:c r="U43" s="41" t="str">
        <x:v>2026-08-26</x:v>
      </x:c>
      <x:c r="V43" s="41" t="str">
        <x:v>禁止：未取得与当前入口对应的程序化采集许可。</x:v>
      </x:c>
      <x:c r="W43" s="41" t="str"/>
      <x:c r="X43" s="41" t="str">
        <x:v>未确认可用于全文归档的程序化分发与字段范围。</x:v>
      </x:c>
    </x:row>
    <x:row r="44">
      <x:c r="A44" s="41" t="str">
        <x:v>A2-03-ZH-LOCALIZED-01</x:v>
      </x:c>
      <x:c r="B44" s="41" t="str">
        <x:v>A2-03</x:v>
      </x:c>
      <x:c r="C44" s="41" t="str">
        <x:v>UNESCO — Countering Hate Speech</x:v>
      </x:c>
      <x:c r="D44" s="41" t="str">
        <x:v>https://www.unesco.org/en/tags/countering-hate-speech</x:v>
      </x:c>
      <x:c r="E44" s="41" t="str">
        <x:v>overseas</x:v>
      </x:c>
      <x:c r="F44" s="41" t="str">
        <x:v>en</x:v>
      </x:c>
      <x:c r="G44" s="41" t="str">
        <x:v>国际组织专题</x:v>
      </x:c>
      <x:c r="H44" s="41" t="str">
        <x:v>歧视性内容</x:v>
      </x:c>
      <x:c r="I44" s="41" t="str">
        <x:v>国别歧视</x:v>
      </x:c>
      <x:c r="J44" s="41" t="str">
        <x:v>zh</x:v>
      </x:c>
      <x:c r="K44" s="41" t="str">
        <x:v>zh-localized-01</x:v>
      </x:c>
      <x:c r="L44" s="41" t="str">
        <x:v>national-origin discrimination; xenophobia; inclusion</x:v>
      </x:c>
      <x:c r="M44" s="41" t="str">
        <x:v>专题页 + 日期筛选 + 主题词筛选</x:v>
      </x:c>
      <x:c r="N44" s="41" t="str">
        <x:v>V0—未确认 robots/条款/API</x:v>
      </x:c>
      <x:c r="O44" s="41" t="str">
        <x:v>候选-待核验</x:v>
      </x:c>
      <x:c r="P44" s="44"/>
      <x:c r="Q44" s="41" t="str">
        <x:v>仅作为场景素材入口；只抓取公开栏目与文章页，不采集评论、账号资料或其他个人信息。</x:v>
      </x:c>
      <x:c r="R44" s="41" t="str">
        <x:v>S09</x:v>
      </x:c>
      <x:c r="S44" s="41" t="str">
        <x:v>V0</x:v>
      </x:c>
      <x:c r="T44" s="41" t="str">
        <x:v>EV-09</x:v>
      </x:c>
      <x:c r="U44" s="41" t="str">
        <x:v>2026-08-26</x:v>
      </x:c>
      <x:c r="V44" s="41" t="str">
        <x:v>禁止：未取得与当前入口对应的程序化采集许可。</x:v>
      </x:c>
      <x:c r="W44" s="41" t="str"/>
      <x:c r="X44" s="41" t="str">
        <x:v>未确认可用于全文归档的程序化分发与字段范围。</x:v>
      </x:c>
    </x:row>
    <x:row r="45">
      <x:c r="A45" s="41" t="str">
        <x:v>A2-03-EN-01</x:v>
      </x:c>
      <x:c r="B45" s="41" t="str">
        <x:v>A2-03</x:v>
      </x:c>
      <x:c r="C45" s="41" t="str">
        <x:v>UNESCO — Countering Hate Speech</x:v>
      </x:c>
      <x:c r="D45" s="41" t="str">
        <x:v>https://www.unesco.org/en/tags/countering-hate-speech</x:v>
      </x:c>
      <x:c r="E45" s="41" t="str">
        <x:v>overseas</x:v>
      </x:c>
      <x:c r="F45" s="41" t="str">
        <x:v>en</x:v>
      </x:c>
      <x:c r="G45" s="41" t="str">
        <x:v>国际组织专题</x:v>
      </x:c>
      <x:c r="H45" s="41" t="str">
        <x:v>歧视性内容</x:v>
      </x:c>
      <x:c r="I45" s="41" t="str">
        <x:v>国别歧视</x:v>
      </x:c>
      <x:c r="J45" s="41" t="str">
        <x:v>en</x:v>
      </x:c>
      <x:c r="K45" s="41" t="str">
        <x:v>en-01</x:v>
      </x:c>
      <x:c r="L45" s="41" t="str">
        <x:v>national-origin discrimination; xenophobia; inclusion</x:v>
      </x:c>
      <x:c r="M45" s="41" t="str">
        <x:v>专题页 + 日期筛选 + 主题词筛选</x:v>
      </x:c>
      <x:c r="N45" s="41" t="str">
        <x:v>V0—未确认 robots/条款/API</x:v>
      </x:c>
      <x:c r="O45" s="41" t="str">
        <x:v>候选-待核验</x:v>
      </x:c>
      <x:c r="P45" s="44"/>
      <x:c r="Q45" s="41" t="str">
        <x:v>仅作为场景素材入口；只抓取公开栏目与文章页，不采集评论、账号资料或其他个人信息。</x:v>
      </x:c>
      <x:c r="R45" s="41" t="str">
        <x:v>S09</x:v>
      </x:c>
      <x:c r="S45" s="41" t="str">
        <x:v>V0</x:v>
      </x:c>
      <x:c r="T45" s="41" t="str">
        <x:v>EV-09</x:v>
      </x:c>
      <x:c r="U45" s="41" t="str">
        <x:v>2026-08-26</x:v>
      </x:c>
      <x:c r="V45" s="41" t="str">
        <x:v>禁止：未取得与当前入口对应的程序化采集许可。</x:v>
      </x:c>
      <x:c r="W45" s="41" t="str"/>
      <x:c r="X45" s="41" t="str">
        <x:v>未确认可用于全文归档的程序化分发与字段范围。</x:v>
      </x:c>
    </x:row>
    <x:row r="46">
      <x:c r="A46" s="41" t="str">
        <x:v>A2-04-ZH-NATIVE-01</x:v>
      </x:c>
      <x:c r="B46" s="41" t="str">
        <x:v>A2-04</x:v>
      </x:c>
      <x:c r="C46" s="41" t="str">
        <x:v>违法和不良信息举报中心（12377）</x:v>
      </x:c>
      <x:c r="D46" s="41" t="str">
        <x:v>https://www.12377.cn/jsal/list1.html</x:v>
      </x:c>
      <x:c r="E46" s="41" t="str">
        <x:v>CN</x:v>
      </x:c>
      <x:c r="F46" s="41" t="str">
        <x:v>zh</x:v>
      </x:c>
      <x:c r="G46" s="41" t="str">
        <x:v>官方处置案例</x:v>
      </x:c>
      <x:c r="H46" s="41" t="str">
        <x:v>歧视性内容</x:v>
      </x:c>
      <x:c r="I46" s="41" t="str">
        <x:v>地域歧视</x:v>
      </x:c>
      <x:c r="J46" s="41" t="str">
        <x:v>zh</x:v>
      </x:c>
      <x:c r="K46" s="41" t="str">
        <x:v>zh-native-01</x:v>
      </x:c>
      <x:c r="L46" s="41" t="str">
        <x:v>网络歧视性表达；地域刻板印象；治理线索</x:v>
      </x:c>
      <x:c r="M46" s="41" t="str">
        <x:v>栏目页分页 + 标题/正文主题词筛选</x:v>
      </x:c>
      <x:c r="N46" s="41" t="str">
        <x:v>V0—未确认 robots/条款/API</x:v>
      </x:c>
      <x:c r="O46" s="41" t="str">
        <x:v>候选-待核验</x:v>
      </x:c>
      <x:c r="P46" s="44"/>
      <x:c r="Q46" s="41" t="str">
        <x:v>仅作为场景素材入口；只抓取公开栏目与文章页，不采集评论、账号资料或其他个人信息。</x:v>
      </x:c>
      <x:c r="R46" s="41" t="str">
        <x:v>S01</x:v>
      </x:c>
      <x:c r="S46" s="41" t="str">
        <x:v>V0</x:v>
      </x:c>
      <x:c r="T46" s="41" t="str">
        <x:v>EV-01</x:v>
      </x:c>
      <x:c r="U46" s="41" t="str">
        <x:v>2026-08-26</x:v>
      </x:c>
      <x:c r="V46" s="41" t="str">
        <x:v>禁止：未取得与当前入口对应的程序化采集许可。</x:v>
      </x:c>
      <x:c r="W46" s="41" t="str"/>
      <x:c r="X46" s="41" t="str">
        <x:v>未确认可用于全文归档的程序化分发与字段范围。</x:v>
      </x:c>
    </x:row>
    <x:row r="47">
      <x:c r="A47" s="41" t="str">
        <x:v>A2-04-ZH-NATIVE-02</x:v>
      </x:c>
      <x:c r="B47" s="41" t="str">
        <x:v>A2-04</x:v>
      </x:c>
      <x:c r="C47" s="41" t="str">
        <x:v>国家互联网信息办公室</x:v>
      </x:c>
      <x:c r="D47" s="41" t="str">
        <x:v>https://www.cac.gov.cn/</x:v>
      </x:c>
      <x:c r="E47" s="41" t="str">
        <x:v>CN</x:v>
      </x:c>
      <x:c r="F47" s="41" t="str">
        <x:v>zh</x:v>
      </x:c>
      <x:c r="G47" s="41" t="str">
        <x:v>主管部门资讯</x:v>
      </x:c>
      <x:c r="H47" s="41" t="str">
        <x:v>歧视性内容</x:v>
      </x:c>
      <x:c r="I47" s="41" t="str">
        <x:v>地域歧视</x:v>
      </x:c>
      <x:c r="J47" s="41" t="str">
        <x:v>zh</x:v>
      </x:c>
      <x:c r="K47" s="41" t="str">
        <x:v>zh-native-02</x:v>
      </x:c>
      <x:c r="L47" s="41" t="str">
        <x:v>网络歧视性表达；地域刻板印象；治理线索</x:v>
      </x:c>
      <x:c r="M47" s="41" t="str">
        <x:v>专题/公开通报栏目 + 站内检索</x:v>
      </x:c>
      <x:c r="N47" s="41" t="str">
        <x:v>V0—未确认 robots/条款/API</x:v>
      </x:c>
      <x:c r="O47" s="41" t="str">
        <x:v>候选-待核验</x:v>
      </x:c>
      <x:c r="P47" s="44"/>
      <x:c r="Q47" s="41" t="str">
        <x:v>仅作为场景素材入口；只抓取公开栏目与文章页，不采集评论、账号资料或其他个人信息。</x:v>
      </x:c>
      <x:c r="R47" s="41" t="str">
        <x:v>S03</x:v>
      </x:c>
      <x:c r="S47" s="41" t="str">
        <x:v>V0</x:v>
      </x:c>
      <x:c r="T47" s="41" t="str">
        <x:v>EV-03, EV-16</x:v>
      </x:c>
      <x:c r="U47" s="41" t="str">
        <x:v>2026-08-26</x:v>
      </x:c>
      <x:c r="V47" s="41" t="str">
        <x:v>禁止：未取得与当前入口对应的程序化采集许可。</x:v>
      </x:c>
      <x:c r="W47" s="41" t="str"/>
      <x:c r="X47" s="41" t="str">
        <x:v>未确认可用于全文归档的程序化分发与字段范围。</x:v>
      </x:c>
    </x:row>
    <x:row r="48">
      <x:c r="A48" s="41" t="str">
        <x:v>A2-04-ZH-LOCALIZED-01</x:v>
      </x:c>
      <x:c r="B48" s="41" t="str">
        <x:v>A2-04</x:v>
      </x:c>
      <x:c r="C48" s="41" t="str">
        <x:v>UNESCO — Countering Hate Speech</x:v>
      </x:c>
      <x:c r="D48" s="41" t="str">
        <x:v>https://www.unesco.org/en/tags/countering-hate-speech</x:v>
      </x:c>
      <x:c r="E48" s="41" t="str">
        <x:v>overseas</x:v>
      </x:c>
      <x:c r="F48" s="41" t="str">
        <x:v>en</x:v>
      </x:c>
      <x:c r="G48" s="41" t="str">
        <x:v>国际组织专题</x:v>
      </x:c>
      <x:c r="H48" s="41" t="str">
        <x:v>歧视性内容</x:v>
      </x:c>
      <x:c r="I48" s="41" t="str">
        <x:v>地域歧视</x:v>
      </x:c>
      <x:c r="J48" s="41" t="str">
        <x:v>zh</x:v>
      </x:c>
      <x:c r="K48" s="41" t="str">
        <x:v>zh-localized-01</x:v>
      </x:c>
      <x:c r="L48" s="41" t="str">
        <x:v>regional prejudice; discriminatory expression; inclusion</x:v>
      </x:c>
      <x:c r="M48" s="41" t="str">
        <x:v>专题页 + 日期筛选 + 主题词筛选</x:v>
      </x:c>
      <x:c r="N48" s="41" t="str">
        <x:v>V0—未确认 robots/条款/API</x:v>
      </x:c>
      <x:c r="O48" s="41" t="str">
        <x:v>候选-待核验</x:v>
      </x:c>
      <x:c r="P48" s="44"/>
      <x:c r="Q48" s="41" t="str">
        <x:v>仅作为场景素材入口；只抓取公开栏目与文章页，不采集评论、账号资料或其他个人信息。</x:v>
      </x:c>
      <x:c r="R48" s="41" t="str">
        <x:v>S09</x:v>
      </x:c>
      <x:c r="S48" s="41" t="str">
        <x:v>V0</x:v>
      </x:c>
      <x:c r="T48" s="41" t="str">
        <x:v>EV-09</x:v>
      </x:c>
      <x:c r="U48" s="41" t="str">
        <x:v>2026-08-26</x:v>
      </x:c>
      <x:c r="V48" s="41" t="str">
        <x:v>禁止：未取得与当前入口对应的程序化采集许可。</x:v>
      </x:c>
      <x:c r="W48" s="41" t="str"/>
      <x:c r="X48" s="41" t="str">
        <x:v>未确认可用于全文归档的程序化分发与字段范围。</x:v>
      </x:c>
    </x:row>
    <x:row r="49">
      <x:c r="A49" s="41" t="str">
        <x:v>A2-04-EN-01</x:v>
      </x:c>
      <x:c r="B49" s="41" t="str">
        <x:v>A2-04</x:v>
      </x:c>
      <x:c r="C49" s="41" t="str">
        <x:v>UNESCO — Countering Hate Speech</x:v>
      </x:c>
      <x:c r="D49" s="41" t="str">
        <x:v>https://www.unesco.org/en/tags/countering-hate-speech</x:v>
      </x:c>
      <x:c r="E49" s="41" t="str">
        <x:v>overseas</x:v>
      </x:c>
      <x:c r="F49" s="41" t="str">
        <x:v>en</x:v>
      </x:c>
      <x:c r="G49" s="41" t="str">
        <x:v>国际组织专题</x:v>
      </x:c>
      <x:c r="H49" s="41" t="str">
        <x:v>歧视性内容</x:v>
      </x:c>
      <x:c r="I49" s="41" t="str">
        <x:v>地域歧视</x:v>
      </x:c>
      <x:c r="J49" s="41" t="str">
        <x:v>en</x:v>
      </x:c>
      <x:c r="K49" s="41" t="str">
        <x:v>en-01</x:v>
      </x:c>
      <x:c r="L49" s="41" t="str">
        <x:v>regional prejudice; discriminatory expression; inclusion</x:v>
      </x:c>
      <x:c r="M49" s="41" t="str">
        <x:v>专题页 + 日期筛选 + 主题词筛选</x:v>
      </x:c>
      <x:c r="N49" s="41" t="str">
        <x:v>V0—未确认 robots/条款/API</x:v>
      </x:c>
      <x:c r="O49" s="41" t="str">
        <x:v>候选-待核验</x:v>
      </x:c>
      <x:c r="P49" s="44"/>
      <x:c r="Q49" s="41" t="str">
        <x:v>仅作为场景素材入口；只抓取公开栏目与文章页，不采集评论、账号资料或其他个人信息。</x:v>
      </x:c>
      <x:c r="R49" s="41" t="str">
        <x:v>S09</x:v>
      </x:c>
      <x:c r="S49" s="41" t="str">
        <x:v>V0</x:v>
      </x:c>
      <x:c r="T49" s="41" t="str">
        <x:v>EV-09</x:v>
      </x:c>
      <x:c r="U49" s="41" t="str">
        <x:v>2026-08-26</x:v>
      </x:c>
      <x:c r="V49" s="41" t="str">
        <x:v>禁止：未取得与当前入口对应的程序化采集许可。</x:v>
      </x:c>
      <x:c r="W49" s="41" t="str"/>
      <x:c r="X49" s="41" t="str">
        <x:v>未确认可用于全文归档的程序化分发与字段范围。</x:v>
      </x:c>
    </x:row>
    <x:row r="50">
      <x:c r="A50" s="41" t="str">
        <x:v>A2-05-ZH-NATIVE-01</x:v>
      </x:c>
      <x:c r="B50" s="41" t="str">
        <x:v>A2-05</x:v>
      </x:c>
      <x:c r="C50" s="41" t="str">
        <x:v>违法和不良信息举报中心（12377）</x:v>
      </x:c>
      <x:c r="D50" s="41" t="str">
        <x:v>https://www.12377.cn/jsal/list1.html</x:v>
      </x:c>
      <x:c r="E50" s="41" t="str">
        <x:v>CN</x:v>
      </x:c>
      <x:c r="F50" s="41" t="str">
        <x:v>zh</x:v>
      </x:c>
      <x:c r="G50" s="41" t="str">
        <x:v>官方处置案例</x:v>
      </x:c>
      <x:c r="H50" s="41" t="str">
        <x:v>歧视性内容</x:v>
      </x:c>
      <x:c r="I50" s="41" t="str">
        <x:v>性别歧视</x:v>
      </x:c>
      <x:c r="J50" s="41" t="str">
        <x:v>zh</x:v>
      </x:c>
      <x:c r="K50" s="41" t="str">
        <x:v>zh-native-01</x:v>
      </x:c>
      <x:c r="L50" s="41" t="str">
        <x:v>网络歧视性表达；性别相关歧视；人格权益</x:v>
      </x:c>
      <x:c r="M50" s="41" t="str">
        <x:v>栏目页分页 + 标题/正文主题词筛选</x:v>
      </x:c>
      <x:c r="N50" s="41" t="str">
        <x:v>V0—未确认 robots/条款/API</x:v>
      </x:c>
      <x:c r="O50" s="41" t="str">
        <x:v>候选-待核验</x:v>
      </x:c>
      <x:c r="P50" s="44"/>
      <x:c r="Q50" s="41" t="str">
        <x:v>仅作为场景素材入口；只抓取公开栏目与文章页，不采集评论、账号资料或其他个人信息。</x:v>
      </x:c>
      <x:c r="R50" s="41" t="str">
        <x:v>S01</x:v>
      </x:c>
      <x:c r="S50" s="41" t="str">
        <x:v>V0</x:v>
      </x:c>
      <x:c r="T50" s="41" t="str">
        <x:v>EV-01</x:v>
      </x:c>
      <x:c r="U50" s="41" t="str">
        <x:v>2026-08-26</x:v>
      </x:c>
      <x:c r="V50" s="41" t="str">
        <x:v>禁止：未取得与当前入口对应的程序化采集许可。</x:v>
      </x:c>
      <x:c r="W50" s="41" t="str"/>
      <x:c r="X50" s="41" t="str">
        <x:v>未确认可用于全文归档的程序化分发与字段范围。</x:v>
      </x:c>
    </x:row>
    <x:row r="51">
      <x:c r="A51" s="41" t="str">
        <x:v>A2-05-ZH-NATIVE-02</x:v>
      </x:c>
      <x:c r="B51" s="41" t="str">
        <x:v>A2-05</x:v>
      </x:c>
      <x:c r="C51" s="41" t="str">
        <x:v>最高人民法院</x:v>
      </x:c>
      <x:c r="D51" s="41" t="str">
        <x:v>https://www.court.gov.cn/</x:v>
      </x:c>
      <x:c r="E51" s="41" t="str">
        <x:v>CN</x:v>
      </x:c>
      <x:c r="F51" s="41" t="str">
        <x:v>zh</x:v>
      </x:c>
      <x:c r="G51" s="41" t="str">
        <x:v>官方司法案例</x:v>
      </x:c>
      <x:c r="H51" s="41" t="str">
        <x:v>歧视性内容</x:v>
      </x:c>
      <x:c r="I51" s="41" t="str">
        <x:v>性别歧视</x:v>
      </x:c>
      <x:c r="J51" s="41" t="str">
        <x:v>zh</x:v>
      </x:c>
      <x:c r="K51" s="41" t="str">
        <x:v>zh-native-02</x:v>
      </x:c>
      <x:c r="L51" s="41" t="str">
        <x:v>网络歧视性表达；性别相关歧视；人格权益</x:v>
      </x:c>
      <x:c r="M51" s="41" t="str">
        <x:v>案例/新闻栏目 + 站内检索</x:v>
      </x:c>
      <x:c r="N51" s="41" t="str">
        <x:v>V0—未确认 robots/条款/API</x:v>
      </x:c>
      <x:c r="O51" s="41" t="str">
        <x:v>候选-待核验</x:v>
      </x:c>
      <x:c r="P51" s="44"/>
      <x:c r="Q51" s="41" t="str">
        <x:v>仅作为场景素材入口；只抓取公开栏目与文章页，不采集评论、账号资料或其他个人信息。</x:v>
      </x:c>
      <x:c r="R51" s="41" t="str">
        <x:v>S07</x:v>
      </x:c>
      <x:c r="S51" s="41" t="str">
        <x:v>V0</x:v>
      </x:c>
      <x:c r="T51" s="41" t="str">
        <x:v>EV-07</x:v>
      </x:c>
      <x:c r="U51" s="41" t="str">
        <x:v>2026-08-26</x:v>
      </x:c>
      <x:c r="V51" s="41" t="str">
        <x:v>禁止：未取得与当前入口对应的程序化采集许可。</x:v>
      </x:c>
      <x:c r="W51" s="41" t="str"/>
      <x:c r="X51" s="41" t="str">
        <x:v>未确认可用于全文归档的程序化分发与字段范围。</x:v>
      </x:c>
    </x:row>
    <x:row r="52">
      <x:c r="A52" s="41" t="str">
        <x:v>A2-05-ZH-LOCALIZED-01</x:v>
      </x:c>
      <x:c r="B52" s="41" t="str">
        <x:v>A2-05</x:v>
      </x:c>
      <x:c r="C52" s="41" t="str">
        <x:v>UNESCO — Countering Hate Speech</x:v>
      </x:c>
      <x:c r="D52" s="41" t="str">
        <x:v>https://www.unesco.org/en/tags/countering-hate-speech</x:v>
      </x:c>
      <x:c r="E52" s="41" t="str">
        <x:v>overseas</x:v>
      </x:c>
      <x:c r="F52" s="41" t="str">
        <x:v>en</x:v>
      </x:c>
      <x:c r="G52" s="41" t="str">
        <x:v>国际组织专题</x:v>
      </x:c>
      <x:c r="H52" s="41" t="str">
        <x:v>歧视性内容</x:v>
      </x:c>
      <x:c r="I52" s="41" t="str">
        <x:v>性别歧视</x:v>
      </x:c>
      <x:c r="J52" s="41" t="str">
        <x:v>zh</x:v>
      </x:c>
      <x:c r="K52" s="41" t="str">
        <x:v>zh-localized-01</x:v>
      </x:c>
      <x:c r="L52" s="41" t="str">
        <x:v>gender discrimination; misogyny; dignity and inclusion</x:v>
      </x:c>
      <x:c r="M52" s="41" t="str">
        <x:v>专题页 + 日期筛选 + 主题词筛选</x:v>
      </x:c>
      <x:c r="N52" s="41" t="str">
        <x:v>V0—未确认 robots/条款/API</x:v>
      </x:c>
      <x:c r="O52" s="41" t="str">
        <x:v>候选-待核验</x:v>
      </x:c>
      <x:c r="P52" s="44"/>
      <x:c r="Q52" s="41" t="str">
        <x:v>仅作为场景素材入口；只抓取公开栏目与文章页，不采集评论、账号资料或其他个人信息。</x:v>
      </x:c>
      <x:c r="R52" s="41" t="str">
        <x:v>S09</x:v>
      </x:c>
      <x:c r="S52" s="41" t="str">
        <x:v>V0</x:v>
      </x:c>
      <x:c r="T52" s="41" t="str">
        <x:v>EV-09</x:v>
      </x:c>
      <x:c r="U52" s="41" t="str">
        <x:v>2026-08-26</x:v>
      </x:c>
      <x:c r="V52" s="41" t="str">
        <x:v>禁止：未取得与当前入口对应的程序化采集许可。</x:v>
      </x:c>
      <x:c r="W52" s="41" t="str"/>
      <x:c r="X52" s="41" t="str">
        <x:v>未确认可用于全文归档的程序化分发与字段范围。</x:v>
      </x:c>
    </x:row>
    <x:row r="53">
      <x:c r="A53" s="41" t="str">
        <x:v>A2-05-EN-01</x:v>
      </x:c>
      <x:c r="B53" s="41" t="str">
        <x:v>A2-05</x:v>
      </x:c>
      <x:c r="C53" s="41" t="str">
        <x:v>UNESCO — Countering Hate Speech</x:v>
      </x:c>
      <x:c r="D53" s="41" t="str">
        <x:v>https://www.unesco.org/en/tags/countering-hate-speech</x:v>
      </x:c>
      <x:c r="E53" s="41" t="str">
        <x:v>overseas</x:v>
      </x:c>
      <x:c r="F53" s="41" t="str">
        <x:v>en</x:v>
      </x:c>
      <x:c r="G53" s="41" t="str">
        <x:v>国际组织专题</x:v>
      </x:c>
      <x:c r="H53" s="41" t="str">
        <x:v>歧视性内容</x:v>
      </x:c>
      <x:c r="I53" s="41" t="str">
        <x:v>性别歧视</x:v>
      </x:c>
      <x:c r="J53" s="41" t="str">
        <x:v>en</x:v>
      </x:c>
      <x:c r="K53" s="41" t="str">
        <x:v>en-01</x:v>
      </x:c>
      <x:c r="L53" s="41" t="str">
        <x:v>gender discrimination; misogyny; dignity and inclusion</x:v>
      </x:c>
      <x:c r="M53" s="41" t="str">
        <x:v>专题页 + 日期筛选 + 主题词筛选</x:v>
      </x:c>
      <x:c r="N53" s="41" t="str">
        <x:v>V0—未确认 robots/条款/API</x:v>
      </x:c>
      <x:c r="O53" s="41" t="str">
        <x:v>候选-待核验</x:v>
      </x:c>
      <x:c r="P53" s="44"/>
      <x:c r="Q53" s="41" t="str">
        <x:v>仅作为场景素材入口；只抓取公开栏目与文章页，不采集评论、账号资料或其他个人信息。</x:v>
      </x:c>
      <x:c r="R53" s="41" t="str">
        <x:v>S09</x:v>
      </x:c>
      <x:c r="S53" s="41" t="str">
        <x:v>V0</x:v>
      </x:c>
      <x:c r="T53" s="41" t="str">
        <x:v>EV-09</x:v>
      </x:c>
      <x:c r="U53" s="41" t="str">
        <x:v>2026-08-26</x:v>
      </x:c>
      <x:c r="V53" s="41" t="str">
        <x:v>禁止：未取得与当前入口对应的程序化采集许可。</x:v>
      </x:c>
      <x:c r="W53" s="41" t="str"/>
      <x:c r="X53" s="41" t="str">
        <x:v>未确认可用于全文归档的程序化分发与字段范围。</x:v>
      </x:c>
    </x:row>
    <x:row r="54">
      <x:c r="A54" s="41" t="str">
        <x:v>A2-06-ZH-NATIVE-01</x:v>
      </x:c>
      <x:c r="B54" s="41" t="str">
        <x:v>A2-06</x:v>
      </x:c>
      <x:c r="C54" s="41" t="str">
        <x:v>违法和不良信息举报中心（12377）</x:v>
      </x:c>
      <x:c r="D54" s="41" t="str">
        <x:v>https://www.12377.cn/jsal/list1.html</x:v>
      </x:c>
      <x:c r="E54" s="41" t="str">
        <x:v>CN</x:v>
      </x:c>
      <x:c r="F54" s="41" t="str">
        <x:v>zh</x:v>
      </x:c>
      <x:c r="G54" s="41" t="str">
        <x:v>官方处置案例</x:v>
      </x:c>
      <x:c r="H54" s="41" t="str">
        <x:v>歧视性内容</x:v>
      </x:c>
      <x:c r="I54" s="41" t="str">
        <x:v>年龄歧视</x:v>
      </x:c>
      <x:c r="J54" s="41" t="str">
        <x:v>zh</x:v>
      </x:c>
      <x:c r="K54" s="41" t="str">
        <x:v>zh-native-01</x:v>
      </x:c>
      <x:c r="L54" s="41" t="str">
        <x:v>网络歧视性表达；年龄相关歧视；权益保护</x:v>
      </x:c>
      <x:c r="M54" s="41" t="str">
        <x:v>栏目页分页 + 标题/正文主题词筛选</x:v>
      </x:c>
      <x:c r="N54" s="41" t="str">
        <x:v>V0—未确认 robots/条款/API</x:v>
      </x:c>
      <x:c r="O54" s="41" t="str">
        <x:v>候选-待核验</x:v>
      </x:c>
      <x:c r="P54" s="44"/>
      <x:c r="Q54" s="41" t="str">
        <x:v>仅作为场景素材入口；只抓取公开栏目与文章页，不采集评论、账号资料或其他个人信息。</x:v>
      </x:c>
      <x:c r="R54" s="41" t="str">
        <x:v>S01</x:v>
      </x:c>
      <x:c r="S54" s="41" t="str">
        <x:v>V0</x:v>
      </x:c>
      <x:c r="T54" s="41" t="str">
        <x:v>EV-01</x:v>
      </x:c>
      <x:c r="U54" s="41" t="str">
        <x:v>2026-08-26</x:v>
      </x:c>
      <x:c r="V54" s="41" t="str">
        <x:v>禁止：未取得与当前入口对应的程序化采集许可。</x:v>
      </x:c>
      <x:c r="W54" s="41" t="str"/>
      <x:c r="X54" s="41" t="str">
        <x:v>未确认可用于全文归档的程序化分发与字段范围。</x:v>
      </x:c>
    </x:row>
    <x:row r="55">
      <x:c r="A55" s="41" t="str">
        <x:v>A2-06-ZH-NATIVE-02</x:v>
      </x:c>
      <x:c r="B55" s="41" t="str">
        <x:v>A2-06</x:v>
      </x:c>
      <x:c r="C55" s="41" t="str">
        <x:v>最高人民法院</x:v>
      </x:c>
      <x:c r="D55" s="41" t="str">
        <x:v>https://www.court.gov.cn/</x:v>
      </x:c>
      <x:c r="E55" s="41" t="str">
        <x:v>CN</x:v>
      </x:c>
      <x:c r="F55" s="41" t="str">
        <x:v>zh</x:v>
      </x:c>
      <x:c r="G55" s="41" t="str">
        <x:v>官方司法案例</x:v>
      </x:c>
      <x:c r="H55" s="41" t="str">
        <x:v>歧视性内容</x:v>
      </x:c>
      <x:c r="I55" s="41" t="str">
        <x:v>年龄歧视</x:v>
      </x:c>
      <x:c r="J55" s="41" t="str">
        <x:v>zh</x:v>
      </x:c>
      <x:c r="K55" s="41" t="str">
        <x:v>zh-native-02</x:v>
      </x:c>
      <x:c r="L55" s="41" t="str">
        <x:v>网络歧视性表达；年龄相关歧视；权益保护</x:v>
      </x:c>
      <x:c r="M55" s="41" t="str">
        <x:v>案例/新闻栏目 + 站内检索</x:v>
      </x:c>
      <x:c r="N55" s="41" t="str">
        <x:v>V0—未确认 robots/条款/API</x:v>
      </x:c>
      <x:c r="O55" s="41" t="str">
        <x:v>候选-待核验</x:v>
      </x:c>
      <x:c r="P55" s="44"/>
      <x:c r="Q55" s="41" t="str">
        <x:v>仅作为场景素材入口；只抓取公开栏目与文章页，不采集评论、账号资料或其他个人信息。</x:v>
      </x:c>
      <x:c r="R55" s="41" t="str">
        <x:v>S07</x:v>
      </x:c>
      <x:c r="S55" s="41" t="str">
        <x:v>V0</x:v>
      </x:c>
      <x:c r="T55" s="41" t="str">
        <x:v>EV-07</x:v>
      </x:c>
      <x:c r="U55" s="41" t="str">
        <x:v>2026-08-26</x:v>
      </x:c>
      <x:c r="V55" s="41" t="str">
        <x:v>禁止：未取得与当前入口对应的程序化采集许可。</x:v>
      </x:c>
      <x:c r="W55" s="41" t="str"/>
      <x:c r="X55" s="41" t="str">
        <x:v>未确认可用于全文归档的程序化分发与字段范围。</x:v>
      </x:c>
    </x:row>
    <x:row r="56">
      <x:c r="A56" s="41" t="str">
        <x:v>A2-06-ZH-LOCALIZED-01</x:v>
      </x:c>
      <x:c r="B56" s="41" t="str">
        <x:v>A2-06</x:v>
      </x:c>
      <x:c r="C56" s="41" t="str">
        <x:v>UNESCO — Countering Hate Speech</x:v>
      </x:c>
      <x:c r="D56" s="41" t="str">
        <x:v>https://www.unesco.org/en/tags/countering-hate-speech</x:v>
      </x:c>
      <x:c r="E56" s="41" t="str">
        <x:v>overseas</x:v>
      </x:c>
      <x:c r="F56" s="41" t="str">
        <x:v>en</x:v>
      </x:c>
      <x:c r="G56" s="41" t="str">
        <x:v>国际组织专题</x:v>
      </x:c>
      <x:c r="H56" s="41" t="str">
        <x:v>歧视性内容</x:v>
      </x:c>
      <x:c r="I56" s="41" t="str">
        <x:v>年龄歧视</x:v>
      </x:c>
      <x:c r="J56" s="41" t="str">
        <x:v>zh</x:v>
      </x:c>
      <x:c r="K56" s="41" t="str">
        <x:v>zh-localized-01</x:v>
      </x:c>
      <x:c r="L56" s="41" t="str">
        <x:v>age discrimination; prejudicial expression; inclusion</x:v>
      </x:c>
      <x:c r="M56" s="41" t="str">
        <x:v>专题页 + 日期筛选 + 主题词筛选</x:v>
      </x:c>
      <x:c r="N56" s="41" t="str">
        <x:v>V0—未确认 robots/条款/API</x:v>
      </x:c>
      <x:c r="O56" s="41" t="str">
        <x:v>候选-待核验</x:v>
      </x:c>
      <x:c r="P56" s="44"/>
      <x:c r="Q56" s="41" t="str">
        <x:v>仅作为场景素材入口；只抓取公开栏目与文章页，不采集评论、账号资料或其他个人信息。</x:v>
      </x:c>
      <x:c r="R56" s="41" t="str">
        <x:v>S09</x:v>
      </x:c>
      <x:c r="S56" s="41" t="str">
        <x:v>V0</x:v>
      </x:c>
      <x:c r="T56" s="41" t="str">
        <x:v>EV-09</x:v>
      </x:c>
      <x:c r="U56" s="41" t="str">
        <x:v>2026-08-26</x:v>
      </x:c>
      <x:c r="V56" s="41" t="str">
        <x:v>禁止：未取得与当前入口对应的程序化采集许可。</x:v>
      </x:c>
      <x:c r="W56" s="41" t="str"/>
      <x:c r="X56" s="41" t="str">
        <x:v>未确认可用于全文归档的程序化分发与字段范围。</x:v>
      </x:c>
    </x:row>
    <x:row r="57">
      <x:c r="A57" s="41" t="str">
        <x:v>A2-06-EN-01</x:v>
      </x:c>
      <x:c r="B57" s="41" t="str">
        <x:v>A2-06</x:v>
      </x:c>
      <x:c r="C57" s="41" t="str">
        <x:v>UNESCO — Countering Hate Speech</x:v>
      </x:c>
      <x:c r="D57" s="41" t="str">
        <x:v>https://www.unesco.org/en/tags/countering-hate-speech</x:v>
      </x:c>
      <x:c r="E57" s="41" t="str">
        <x:v>overseas</x:v>
      </x:c>
      <x:c r="F57" s="41" t="str">
        <x:v>en</x:v>
      </x:c>
      <x:c r="G57" s="41" t="str">
        <x:v>国际组织专题</x:v>
      </x:c>
      <x:c r="H57" s="41" t="str">
        <x:v>歧视性内容</x:v>
      </x:c>
      <x:c r="I57" s="41" t="str">
        <x:v>年龄歧视</x:v>
      </x:c>
      <x:c r="J57" s="41" t="str">
        <x:v>en</x:v>
      </x:c>
      <x:c r="K57" s="41" t="str">
        <x:v>en-01</x:v>
      </x:c>
      <x:c r="L57" s="41" t="str">
        <x:v>age discrimination; prejudicial expression; inclusion</x:v>
      </x:c>
      <x:c r="M57" s="41" t="str">
        <x:v>专题页 + 日期筛选 + 主题词筛选</x:v>
      </x:c>
      <x:c r="N57" s="41" t="str">
        <x:v>V0—未确认 robots/条款/API</x:v>
      </x:c>
      <x:c r="O57" s="41" t="str">
        <x:v>候选-待核验</x:v>
      </x:c>
      <x:c r="P57" s="44"/>
      <x:c r="Q57" s="41" t="str">
        <x:v>仅作为场景素材入口；只抓取公开栏目与文章页，不采集评论、账号资料或其他个人信息。</x:v>
      </x:c>
      <x:c r="R57" s="41" t="str">
        <x:v>S09</x:v>
      </x:c>
      <x:c r="S57" s="41" t="str">
        <x:v>V0</x:v>
      </x:c>
      <x:c r="T57" s="41" t="str">
        <x:v>EV-09</x:v>
      </x:c>
      <x:c r="U57" s="41" t="str">
        <x:v>2026-08-26</x:v>
      </x:c>
      <x:c r="V57" s="41" t="str">
        <x:v>禁止：未取得与当前入口对应的程序化采集许可。</x:v>
      </x:c>
      <x:c r="W57" s="41" t="str"/>
      <x:c r="X57" s="41" t="str">
        <x:v>未确认可用于全文归档的程序化分发与字段范围。</x:v>
      </x:c>
    </x:row>
    <x:row r="58">
      <x:c r="A58" s="41" t="str">
        <x:v>A2-07-ZH-NATIVE-01</x:v>
      </x:c>
      <x:c r="B58" s="41" t="str">
        <x:v>A2-07</x:v>
      </x:c>
      <x:c r="C58" s="41" t="str">
        <x:v>违法和不良信息举报中心（12377）</x:v>
      </x:c>
      <x:c r="D58" s="41" t="str">
        <x:v>https://www.12377.cn/jsal/list1.html</x:v>
      </x:c>
      <x:c r="E58" s="41" t="str">
        <x:v>CN</x:v>
      </x:c>
      <x:c r="F58" s="41" t="str">
        <x:v>zh</x:v>
      </x:c>
      <x:c r="G58" s="41" t="str">
        <x:v>官方处置案例</x:v>
      </x:c>
      <x:c r="H58" s="41" t="str">
        <x:v>歧视性内容</x:v>
      </x:c>
      <x:c r="I58" s="41" t="str">
        <x:v>职业歧视</x:v>
      </x:c>
      <x:c r="J58" s="41" t="str">
        <x:v>zh</x:v>
      </x:c>
      <x:c r="K58" s="41" t="str">
        <x:v>zh-native-01</x:v>
      </x:c>
      <x:c r="L58" s="41" t="str">
        <x:v>网络歧视性表达；职业刻板印象；权益保护</x:v>
      </x:c>
      <x:c r="M58" s="41" t="str">
        <x:v>栏目页分页 + 标题/正文主题词筛选</x:v>
      </x:c>
      <x:c r="N58" s="41" t="str">
        <x:v>V0—未确认 robots/条款/API</x:v>
      </x:c>
      <x:c r="O58" s="41" t="str">
        <x:v>候选-待核验</x:v>
      </x:c>
      <x:c r="P58" s="44"/>
      <x:c r="Q58" s="41" t="str">
        <x:v>仅作为场景素材入口；只抓取公开栏目与文章页，不采集评论、账号资料或其他个人信息。</x:v>
      </x:c>
      <x:c r="R58" s="41" t="str">
        <x:v>S01</x:v>
      </x:c>
      <x:c r="S58" s="41" t="str">
        <x:v>V0</x:v>
      </x:c>
      <x:c r="T58" s="41" t="str">
        <x:v>EV-01</x:v>
      </x:c>
      <x:c r="U58" s="41" t="str">
        <x:v>2026-08-26</x:v>
      </x:c>
      <x:c r="V58" s="41" t="str">
        <x:v>禁止：未取得与当前入口对应的程序化采集许可。</x:v>
      </x:c>
      <x:c r="W58" s="41" t="str"/>
      <x:c r="X58" s="41" t="str">
        <x:v>未确认可用于全文归档的程序化分发与字段范围。</x:v>
      </x:c>
    </x:row>
    <x:row r="59">
      <x:c r="A59" s="41" t="str">
        <x:v>A2-07-ZH-NATIVE-02</x:v>
      </x:c>
      <x:c r="B59" s="41" t="str">
        <x:v>A2-07</x:v>
      </x:c>
      <x:c r="C59" s="41" t="str">
        <x:v>最高人民法院</x:v>
      </x:c>
      <x:c r="D59" s="41" t="str">
        <x:v>https://www.court.gov.cn/</x:v>
      </x:c>
      <x:c r="E59" s="41" t="str">
        <x:v>CN</x:v>
      </x:c>
      <x:c r="F59" s="41" t="str">
        <x:v>zh</x:v>
      </x:c>
      <x:c r="G59" s="41" t="str">
        <x:v>官方司法案例</x:v>
      </x:c>
      <x:c r="H59" s="41" t="str">
        <x:v>歧视性内容</x:v>
      </x:c>
      <x:c r="I59" s="41" t="str">
        <x:v>职业歧视</x:v>
      </x:c>
      <x:c r="J59" s="41" t="str">
        <x:v>zh</x:v>
      </x:c>
      <x:c r="K59" s="41" t="str">
        <x:v>zh-native-02</x:v>
      </x:c>
      <x:c r="L59" s="41" t="str">
        <x:v>网络歧视性表达；职业刻板印象；权益保护</x:v>
      </x:c>
      <x:c r="M59" s="41" t="str">
        <x:v>案例/新闻栏目 + 站内检索</x:v>
      </x:c>
      <x:c r="N59" s="41" t="str">
        <x:v>V0—未确认 robots/条款/API</x:v>
      </x:c>
      <x:c r="O59" s="41" t="str">
        <x:v>候选-待核验</x:v>
      </x:c>
      <x:c r="P59" s="44"/>
      <x:c r="Q59" s="41" t="str">
        <x:v>仅作为场景素材入口；只抓取公开栏目与文章页，不采集评论、账号资料或其他个人信息。</x:v>
      </x:c>
      <x:c r="R59" s="41" t="str">
        <x:v>S07</x:v>
      </x:c>
      <x:c r="S59" s="41" t="str">
        <x:v>V0</x:v>
      </x:c>
      <x:c r="T59" s="41" t="str">
        <x:v>EV-07</x:v>
      </x:c>
      <x:c r="U59" s="41" t="str">
        <x:v>2026-08-26</x:v>
      </x:c>
      <x:c r="V59" s="41" t="str">
        <x:v>禁止：未取得与当前入口对应的程序化采集许可。</x:v>
      </x:c>
      <x:c r="W59" s="41" t="str"/>
      <x:c r="X59" s="41" t="str">
        <x:v>未确认可用于全文归档的程序化分发与字段范围。</x:v>
      </x:c>
    </x:row>
    <x:row r="60">
      <x:c r="A60" s="41" t="str">
        <x:v>A2-07-ZH-LOCALIZED-01</x:v>
      </x:c>
      <x:c r="B60" s="41" t="str">
        <x:v>A2-07</x:v>
      </x:c>
      <x:c r="C60" s="41" t="str">
        <x:v>UNESCO — Countering Hate Speech</x:v>
      </x:c>
      <x:c r="D60" s="41" t="str">
        <x:v>https://www.unesco.org/en/tags/countering-hate-speech</x:v>
      </x:c>
      <x:c r="E60" s="41" t="str">
        <x:v>overseas</x:v>
      </x:c>
      <x:c r="F60" s="41" t="str">
        <x:v>en</x:v>
      </x:c>
      <x:c r="G60" s="41" t="str">
        <x:v>国际组织专题</x:v>
      </x:c>
      <x:c r="H60" s="41" t="str">
        <x:v>歧视性内容</x:v>
      </x:c>
      <x:c r="I60" s="41" t="str">
        <x:v>职业歧视</x:v>
      </x:c>
      <x:c r="J60" s="41" t="str">
        <x:v>zh</x:v>
      </x:c>
      <x:c r="K60" s="41" t="str">
        <x:v>zh-localized-01</x:v>
      </x:c>
      <x:c r="L60" s="41" t="str">
        <x:v>occupation-based discrimination; stereotyping; inclusion</x:v>
      </x:c>
      <x:c r="M60" s="41" t="str">
        <x:v>专题页 + 日期筛选 + 主题词筛选</x:v>
      </x:c>
      <x:c r="N60" s="41" t="str">
        <x:v>V0—未确认 robots/条款/API</x:v>
      </x:c>
      <x:c r="O60" s="41" t="str">
        <x:v>候选-待核验</x:v>
      </x:c>
      <x:c r="P60" s="44"/>
      <x:c r="Q60" s="41" t="str">
        <x:v>仅作为场景素材入口；只抓取公开栏目与文章页，不采集评论、账号资料或其他个人信息。</x:v>
      </x:c>
      <x:c r="R60" s="41" t="str">
        <x:v>S09</x:v>
      </x:c>
      <x:c r="S60" s="41" t="str">
        <x:v>V0</x:v>
      </x:c>
      <x:c r="T60" s="41" t="str">
        <x:v>EV-09</x:v>
      </x:c>
      <x:c r="U60" s="41" t="str">
        <x:v>2026-08-26</x:v>
      </x:c>
      <x:c r="V60" s="41" t="str">
        <x:v>禁止：未取得与当前入口对应的程序化采集许可。</x:v>
      </x:c>
      <x:c r="W60" s="41" t="str"/>
      <x:c r="X60" s="41" t="str">
        <x:v>未确认可用于全文归档的程序化分发与字段范围。</x:v>
      </x:c>
    </x:row>
    <x:row r="61">
      <x:c r="A61" s="41" t="str">
        <x:v>A2-07-EN-01</x:v>
      </x:c>
      <x:c r="B61" s="41" t="str">
        <x:v>A2-07</x:v>
      </x:c>
      <x:c r="C61" s="41" t="str">
        <x:v>UNESCO — Countering Hate Speech</x:v>
      </x:c>
      <x:c r="D61" s="41" t="str">
        <x:v>https://www.unesco.org/en/tags/countering-hate-speech</x:v>
      </x:c>
      <x:c r="E61" s="41" t="str">
        <x:v>overseas</x:v>
      </x:c>
      <x:c r="F61" s="41" t="str">
        <x:v>en</x:v>
      </x:c>
      <x:c r="G61" s="41" t="str">
        <x:v>国际组织专题</x:v>
      </x:c>
      <x:c r="H61" s="41" t="str">
        <x:v>歧视性内容</x:v>
      </x:c>
      <x:c r="I61" s="41" t="str">
        <x:v>职业歧视</x:v>
      </x:c>
      <x:c r="J61" s="41" t="str">
        <x:v>en</x:v>
      </x:c>
      <x:c r="K61" s="41" t="str">
        <x:v>en-01</x:v>
      </x:c>
      <x:c r="L61" s="41" t="str">
        <x:v>occupation-based discrimination; stereotyping; inclusion</x:v>
      </x:c>
      <x:c r="M61" s="41" t="str">
        <x:v>专题页 + 日期筛选 + 主题词筛选</x:v>
      </x:c>
      <x:c r="N61" s="41" t="str">
        <x:v>V0—未确认 robots/条款/API</x:v>
      </x:c>
      <x:c r="O61" s="41" t="str">
        <x:v>候选-待核验</x:v>
      </x:c>
      <x:c r="P61" s="44"/>
      <x:c r="Q61" s="41" t="str">
        <x:v>仅作为场景素材入口；只抓取公开栏目与文章页，不采集评论、账号资料或其他个人信息。</x:v>
      </x:c>
      <x:c r="R61" s="41" t="str">
        <x:v>S09</x:v>
      </x:c>
      <x:c r="S61" s="41" t="str">
        <x:v>V0</x:v>
      </x:c>
      <x:c r="T61" s="41" t="str">
        <x:v>EV-09</x:v>
      </x:c>
      <x:c r="U61" s="41" t="str">
        <x:v>2026-08-26</x:v>
      </x:c>
      <x:c r="V61" s="41" t="str">
        <x:v>禁止：未取得与当前入口对应的程序化采集许可。</x:v>
      </x:c>
      <x:c r="W61" s="41" t="str"/>
      <x:c r="X61" s="41" t="str">
        <x:v>未确认可用于全文归档的程序化分发与字段范围。</x:v>
      </x:c>
    </x:row>
    <x:row r="62">
      <x:c r="A62" s="41" t="str">
        <x:v>A2-08-ZH-NATIVE-01</x:v>
      </x:c>
      <x:c r="B62" s="41" t="str">
        <x:v>A2-08</x:v>
      </x:c>
      <x:c r="C62" s="41" t="str">
        <x:v>违法和不良信息举报中心（12377）</x:v>
      </x:c>
      <x:c r="D62" s="41" t="str">
        <x:v>https://www.12377.cn/jsal/list1.html</x:v>
      </x:c>
      <x:c r="E62" s="41" t="str">
        <x:v>CN</x:v>
      </x:c>
      <x:c r="F62" s="41" t="str">
        <x:v>zh</x:v>
      </x:c>
      <x:c r="G62" s="41" t="str">
        <x:v>官方处置案例</x:v>
      </x:c>
      <x:c r="H62" s="41" t="str">
        <x:v>歧视性内容</x:v>
      </x:c>
      <x:c r="I62" s="41" t="str">
        <x:v>健康歧视</x:v>
      </x:c>
      <x:c r="J62" s="41" t="str">
        <x:v>zh</x:v>
      </x:c>
      <x:c r="K62" s="41" t="str">
        <x:v>zh-native-01</x:v>
      </x:c>
      <x:c r="L62" s="41" t="str">
        <x:v>网络歧视性表达；健康状况歧视；人格权益</x:v>
      </x:c>
      <x:c r="M62" s="41" t="str">
        <x:v>栏目页分页 + 标题/正文主题词筛选</x:v>
      </x:c>
      <x:c r="N62" s="41" t="str">
        <x:v>V0—未确认 robots/条款/API</x:v>
      </x:c>
      <x:c r="O62" s="41" t="str">
        <x:v>候选-待核验</x:v>
      </x:c>
      <x:c r="P62" s="44"/>
      <x:c r="Q62" s="41" t="str">
        <x:v>仅作为场景素材入口；只抓取公开栏目与文章页，不采集评论、账号资料或其他个人信息。</x:v>
      </x:c>
      <x:c r="R62" s="41" t="str">
        <x:v>S01</x:v>
      </x:c>
      <x:c r="S62" s="41" t="str">
        <x:v>V0</x:v>
      </x:c>
      <x:c r="T62" s="41" t="str">
        <x:v>EV-01</x:v>
      </x:c>
      <x:c r="U62" s="41" t="str">
        <x:v>2026-08-26</x:v>
      </x:c>
      <x:c r="V62" s="41" t="str">
        <x:v>禁止：未取得与当前入口对应的程序化采集许可。</x:v>
      </x:c>
      <x:c r="W62" s="41" t="str"/>
      <x:c r="X62" s="41" t="str">
        <x:v>未确认可用于全文归档的程序化分发与字段范围。</x:v>
      </x:c>
    </x:row>
    <x:row r="63">
      <x:c r="A63" s="41" t="str">
        <x:v>A2-08-ZH-NATIVE-02</x:v>
      </x:c>
      <x:c r="B63" s="41" t="str">
        <x:v>A2-08</x:v>
      </x:c>
      <x:c r="C63" s="41" t="str">
        <x:v>最高人民法院</x:v>
      </x:c>
      <x:c r="D63" s="41" t="str">
        <x:v>https://www.court.gov.cn/</x:v>
      </x:c>
      <x:c r="E63" s="41" t="str">
        <x:v>CN</x:v>
      </x:c>
      <x:c r="F63" s="41" t="str">
        <x:v>zh</x:v>
      </x:c>
      <x:c r="G63" s="41" t="str">
        <x:v>官方司法案例</x:v>
      </x:c>
      <x:c r="H63" s="41" t="str">
        <x:v>歧视性内容</x:v>
      </x:c>
      <x:c r="I63" s="41" t="str">
        <x:v>健康歧视</x:v>
      </x:c>
      <x:c r="J63" s="41" t="str">
        <x:v>zh</x:v>
      </x:c>
      <x:c r="K63" s="41" t="str">
        <x:v>zh-native-02</x:v>
      </x:c>
      <x:c r="L63" s="41" t="str">
        <x:v>网络歧视性表达；健康状况歧视；人格权益</x:v>
      </x:c>
      <x:c r="M63" s="41" t="str">
        <x:v>案例/新闻栏目 + 站内检索</x:v>
      </x:c>
      <x:c r="N63" s="41" t="str">
        <x:v>V0—未确认 robots/条款/API</x:v>
      </x:c>
      <x:c r="O63" s="41" t="str">
        <x:v>候选-待核验</x:v>
      </x:c>
      <x:c r="P63" s="44"/>
      <x:c r="Q63" s="41" t="str">
        <x:v>仅作为场景素材入口；只抓取公开栏目与文章页，不采集评论、账号资料或其他个人信息。</x:v>
      </x:c>
      <x:c r="R63" s="41" t="str">
        <x:v>S07</x:v>
      </x:c>
      <x:c r="S63" s="41" t="str">
        <x:v>V0</x:v>
      </x:c>
      <x:c r="T63" s="41" t="str">
        <x:v>EV-07</x:v>
      </x:c>
      <x:c r="U63" s="41" t="str">
        <x:v>2026-08-26</x:v>
      </x:c>
      <x:c r="V63" s="41" t="str">
        <x:v>禁止：未取得与当前入口对应的程序化采集许可。</x:v>
      </x:c>
      <x:c r="W63" s="41" t="str"/>
      <x:c r="X63" s="41" t="str">
        <x:v>未确认可用于全文归档的程序化分发与字段范围。</x:v>
      </x:c>
    </x:row>
    <x:row r="64">
      <x:c r="A64" s="41" t="str">
        <x:v>A2-08-ZH-LOCALIZED-01</x:v>
      </x:c>
      <x:c r="B64" s="41" t="str">
        <x:v>A2-08</x:v>
      </x:c>
      <x:c r="C64" s="41" t="str">
        <x:v>UNESCO — Countering Hate Speech</x:v>
      </x:c>
      <x:c r="D64" s="41" t="str">
        <x:v>https://www.unesco.org/en/tags/countering-hate-speech</x:v>
      </x:c>
      <x:c r="E64" s="41" t="str">
        <x:v>overseas</x:v>
      </x:c>
      <x:c r="F64" s="41" t="str">
        <x:v>en</x:v>
      </x:c>
      <x:c r="G64" s="41" t="str">
        <x:v>国际组织专题</x:v>
      </x:c>
      <x:c r="H64" s="41" t="str">
        <x:v>歧视性内容</x:v>
      </x:c>
      <x:c r="I64" s="41" t="str">
        <x:v>健康歧视</x:v>
      </x:c>
      <x:c r="J64" s="41" t="str">
        <x:v>zh</x:v>
      </x:c>
      <x:c r="K64" s="41" t="str">
        <x:v>zh-localized-01</x:v>
      </x:c>
      <x:c r="L64" s="41" t="str">
        <x:v>health-status discrimination; stigmatization; inclusion</x:v>
      </x:c>
      <x:c r="M64" s="41" t="str">
        <x:v>专题页 + 日期筛选 + 主题词筛选</x:v>
      </x:c>
      <x:c r="N64" s="41" t="str">
        <x:v>V0—未确认 robots/条款/API</x:v>
      </x:c>
      <x:c r="O64" s="41" t="str">
        <x:v>候选-待核验</x:v>
      </x:c>
      <x:c r="P64" s="44"/>
      <x:c r="Q64" s="41" t="str">
        <x:v>仅作为场景素材入口；只抓取公开栏目与文章页，不采集评论、账号资料或其他个人信息。</x:v>
      </x:c>
      <x:c r="R64" s="41" t="str">
        <x:v>S09</x:v>
      </x:c>
      <x:c r="S64" s="41" t="str">
        <x:v>V0</x:v>
      </x:c>
      <x:c r="T64" s="41" t="str">
        <x:v>EV-09</x:v>
      </x:c>
      <x:c r="U64" s="41" t="str">
        <x:v>2026-08-26</x:v>
      </x:c>
      <x:c r="V64" s="41" t="str">
        <x:v>禁止：未取得与当前入口对应的程序化采集许可。</x:v>
      </x:c>
      <x:c r="W64" s="41" t="str"/>
      <x:c r="X64" s="41" t="str">
        <x:v>未确认可用于全文归档的程序化分发与字段范围。</x:v>
      </x:c>
    </x:row>
    <x:row r="65">
      <x:c r="A65" s="41" t="str">
        <x:v>A2-08-EN-01</x:v>
      </x:c>
      <x:c r="B65" s="41" t="str">
        <x:v>A2-08</x:v>
      </x:c>
      <x:c r="C65" s="41" t="str">
        <x:v>UNESCO — Countering Hate Speech</x:v>
      </x:c>
      <x:c r="D65" s="41" t="str">
        <x:v>https://www.unesco.org/en/tags/countering-hate-speech</x:v>
      </x:c>
      <x:c r="E65" s="41" t="str">
        <x:v>overseas</x:v>
      </x:c>
      <x:c r="F65" s="41" t="str">
        <x:v>en</x:v>
      </x:c>
      <x:c r="G65" s="41" t="str">
        <x:v>国际组织专题</x:v>
      </x:c>
      <x:c r="H65" s="41" t="str">
        <x:v>歧视性内容</x:v>
      </x:c>
      <x:c r="I65" s="41" t="str">
        <x:v>健康歧视</x:v>
      </x:c>
      <x:c r="J65" s="41" t="str">
        <x:v>en</x:v>
      </x:c>
      <x:c r="K65" s="41" t="str">
        <x:v>en-01</x:v>
      </x:c>
      <x:c r="L65" s="41" t="str">
        <x:v>health-status discrimination; stigmatization; inclusion</x:v>
      </x:c>
      <x:c r="M65" s="41" t="str">
        <x:v>专题页 + 日期筛选 + 主题词筛选</x:v>
      </x:c>
      <x:c r="N65" s="41" t="str">
        <x:v>V0—未确认 robots/条款/API</x:v>
      </x:c>
      <x:c r="O65" s="41" t="str">
        <x:v>候选-待核验</x:v>
      </x:c>
      <x:c r="P65" s="44"/>
      <x:c r="Q65" s="41" t="str">
        <x:v>仅作为场景素材入口；只抓取公开栏目与文章页，不采集评论、账号资料或其他个人信息。</x:v>
      </x:c>
      <x:c r="R65" s="41" t="str">
        <x:v>S09</x:v>
      </x:c>
      <x:c r="S65" s="41" t="str">
        <x:v>V0</x:v>
      </x:c>
      <x:c r="T65" s="41" t="str">
        <x:v>EV-09</x:v>
      </x:c>
      <x:c r="U65" s="41" t="str">
        <x:v>2026-08-26</x:v>
      </x:c>
      <x:c r="V65" s="41" t="str">
        <x:v>禁止：未取得与当前入口对应的程序化采集许可。</x:v>
      </x:c>
      <x:c r="W65" s="41" t="str"/>
      <x:c r="X65" s="41" t="str">
        <x:v>未确认可用于全文归档的程序化分发与字段范围。</x:v>
      </x:c>
    </x:row>
    <x:row r="66">
      <x:c r="A66" s="41" t="str">
        <x:v>A2-09-ZH-NATIVE-01</x:v>
      </x:c>
      <x:c r="B66" s="41" t="str">
        <x:v>A2-09</x:v>
      </x:c>
      <x:c r="C66" s="41" t="str">
        <x:v>违法和不良信息举报中心（12377）</x:v>
      </x:c>
      <x:c r="D66" s="41" t="str">
        <x:v>https://www.12377.cn/jsal/list1.html</x:v>
      </x:c>
      <x:c r="E66" s="41" t="str">
        <x:v>CN</x:v>
      </x:c>
      <x:c r="F66" s="41" t="str">
        <x:v>zh</x:v>
      </x:c>
      <x:c r="G66" s="41" t="str">
        <x:v>官方处置案例</x:v>
      </x:c>
      <x:c r="H66" s="41" t="str">
        <x:v>歧视性内容</x:v>
      </x:c>
      <x:c r="I66" s="41" t="str">
        <x:v>其他方面歧视</x:v>
      </x:c>
      <x:c r="J66" s="41" t="str">
        <x:v>zh</x:v>
      </x:c>
      <x:c r="K66" s="41" t="str">
        <x:v>zh-native-01</x:v>
      </x:c>
      <x:c r="L66" s="41" t="str">
        <x:v>网络歧视性表达；其他身份特征；权益保护</x:v>
      </x:c>
      <x:c r="M66" s="41" t="str">
        <x:v>栏目页分页 + 标题/正文主题词筛选</x:v>
      </x:c>
      <x:c r="N66" s="41" t="str">
        <x:v>V0—未确认 robots/条款/API</x:v>
      </x:c>
      <x:c r="O66" s="41" t="str">
        <x:v>候选-待核验</x:v>
      </x:c>
      <x:c r="P66" s="44"/>
      <x:c r="Q66" s="41" t="str">
        <x:v>仅作为场景素材入口；只抓取公开栏目与文章页，不采集评论、账号资料或其他个人信息。</x:v>
      </x:c>
      <x:c r="R66" s="41" t="str">
        <x:v>S01</x:v>
      </x:c>
      <x:c r="S66" s="41" t="str">
        <x:v>V0</x:v>
      </x:c>
      <x:c r="T66" s="41" t="str">
        <x:v>EV-01</x:v>
      </x:c>
      <x:c r="U66" s="41" t="str">
        <x:v>2026-08-26</x:v>
      </x:c>
      <x:c r="V66" s="41" t="str">
        <x:v>禁止：未取得与当前入口对应的程序化采集许可。</x:v>
      </x:c>
      <x:c r="W66" s="41" t="str"/>
      <x:c r="X66" s="41" t="str">
        <x:v>未确认可用于全文归档的程序化分发与字段范围。</x:v>
      </x:c>
    </x:row>
    <x:row r="67">
      <x:c r="A67" s="41" t="str">
        <x:v>A2-09-ZH-NATIVE-02</x:v>
      </x:c>
      <x:c r="B67" s="41" t="str">
        <x:v>A2-09</x:v>
      </x:c>
      <x:c r="C67" s="41" t="str">
        <x:v>最高人民法院</x:v>
      </x:c>
      <x:c r="D67" s="41" t="str">
        <x:v>https://www.court.gov.cn/</x:v>
      </x:c>
      <x:c r="E67" s="41" t="str">
        <x:v>CN</x:v>
      </x:c>
      <x:c r="F67" s="41" t="str">
        <x:v>zh</x:v>
      </x:c>
      <x:c r="G67" s="41" t="str">
        <x:v>官方司法案例</x:v>
      </x:c>
      <x:c r="H67" s="41" t="str">
        <x:v>歧视性内容</x:v>
      </x:c>
      <x:c r="I67" s="41" t="str">
        <x:v>其他方面歧视</x:v>
      </x:c>
      <x:c r="J67" s="41" t="str">
        <x:v>zh</x:v>
      </x:c>
      <x:c r="K67" s="41" t="str">
        <x:v>zh-native-02</x:v>
      </x:c>
      <x:c r="L67" s="41" t="str">
        <x:v>网络歧视性表达；其他身份特征；权益保护</x:v>
      </x:c>
      <x:c r="M67" s="41" t="str">
        <x:v>案例/新闻栏目 + 站内检索</x:v>
      </x:c>
      <x:c r="N67" s="41" t="str">
        <x:v>V0—未确认 robots/条款/API</x:v>
      </x:c>
      <x:c r="O67" s="41" t="str">
        <x:v>候选-待核验</x:v>
      </x:c>
      <x:c r="P67" s="44"/>
      <x:c r="Q67" s="41" t="str">
        <x:v>仅作为场景素材入口；只抓取公开栏目与文章页，不采集评论、账号资料或其他个人信息。</x:v>
      </x:c>
      <x:c r="R67" s="41" t="str">
        <x:v>S07</x:v>
      </x:c>
      <x:c r="S67" s="41" t="str">
        <x:v>V0</x:v>
      </x:c>
      <x:c r="T67" s="41" t="str">
        <x:v>EV-07</x:v>
      </x:c>
      <x:c r="U67" s="41" t="str">
        <x:v>2026-08-26</x:v>
      </x:c>
      <x:c r="V67" s="41" t="str">
        <x:v>禁止：未取得与当前入口对应的程序化采集许可。</x:v>
      </x:c>
      <x:c r="W67" s="41" t="str"/>
      <x:c r="X67" s="41" t="str">
        <x:v>未确认可用于全文归档的程序化分发与字段范围。</x:v>
      </x:c>
    </x:row>
    <x:row r="68">
      <x:c r="A68" s="41" t="str">
        <x:v>A2-09-ZH-LOCALIZED-01</x:v>
      </x:c>
      <x:c r="B68" s="41" t="str">
        <x:v>A2-09</x:v>
      </x:c>
      <x:c r="C68" s="41" t="str">
        <x:v>UNESCO — Countering Hate Speech</x:v>
      </x:c>
      <x:c r="D68" s="41" t="str">
        <x:v>https://www.unesco.org/en/tags/countering-hate-speech</x:v>
      </x:c>
      <x:c r="E68" s="41" t="str">
        <x:v>overseas</x:v>
      </x:c>
      <x:c r="F68" s="41" t="str">
        <x:v>en</x:v>
      </x:c>
      <x:c r="G68" s="41" t="str">
        <x:v>国际组织专题</x:v>
      </x:c>
      <x:c r="H68" s="41" t="str">
        <x:v>歧视性内容</x:v>
      </x:c>
      <x:c r="I68" s="41" t="str">
        <x:v>其他方面歧视</x:v>
      </x:c>
      <x:c r="J68" s="41" t="str">
        <x:v>zh</x:v>
      </x:c>
      <x:c r="K68" s="41" t="str">
        <x:v>zh-localized-01</x:v>
      </x:c>
      <x:c r="L68" s="41" t="str">
        <x:v>other discrimination; identity-based prejudice; inclusion</x:v>
      </x:c>
      <x:c r="M68" s="41" t="str">
        <x:v>专题页 + 日期筛选 + 主题词筛选</x:v>
      </x:c>
      <x:c r="N68" s="41" t="str">
        <x:v>V0—未确认 robots/条款/API</x:v>
      </x:c>
      <x:c r="O68" s="41" t="str">
        <x:v>候选-待核验</x:v>
      </x:c>
      <x:c r="P68" s="44"/>
      <x:c r="Q68" s="41" t="str">
        <x:v>仅作为场景素材入口；只抓取公开栏目与文章页，不采集评论、账号资料或其他个人信息。</x:v>
      </x:c>
      <x:c r="R68" s="41" t="str">
        <x:v>S09</x:v>
      </x:c>
      <x:c r="S68" s="41" t="str">
        <x:v>V0</x:v>
      </x:c>
      <x:c r="T68" s="41" t="str">
        <x:v>EV-09</x:v>
      </x:c>
      <x:c r="U68" s="41" t="str">
        <x:v>2026-08-26</x:v>
      </x:c>
      <x:c r="V68" s="41" t="str">
        <x:v>禁止：未取得与当前入口对应的程序化采集许可。</x:v>
      </x:c>
      <x:c r="W68" s="41" t="str"/>
      <x:c r="X68" s="41" t="str">
        <x:v>未确认可用于全文归档的程序化分发与字段范围。</x:v>
      </x:c>
    </x:row>
    <x:row r="69">
      <x:c r="A69" s="41" t="str">
        <x:v>A2-09-EN-01</x:v>
      </x:c>
      <x:c r="B69" s="41" t="str">
        <x:v>A2-09</x:v>
      </x:c>
      <x:c r="C69" s="41" t="str">
        <x:v>UNESCO — Countering Hate Speech</x:v>
      </x:c>
      <x:c r="D69" s="41" t="str">
        <x:v>https://www.unesco.org/en/tags/countering-hate-speech</x:v>
      </x:c>
      <x:c r="E69" s="41" t="str">
        <x:v>overseas</x:v>
      </x:c>
      <x:c r="F69" s="41" t="str">
        <x:v>en</x:v>
      </x:c>
      <x:c r="G69" s="41" t="str">
        <x:v>国际组织专题</x:v>
      </x:c>
      <x:c r="H69" s="41" t="str">
        <x:v>歧视性内容</x:v>
      </x:c>
      <x:c r="I69" s="41" t="str">
        <x:v>其他方面歧视</x:v>
      </x:c>
      <x:c r="J69" s="41" t="str">
        <x:v>en</x:v>
      </x:c>
      <x:c r="K69" s="41" t="str">
        <x:v>en-01</x:v>
      </x:c>
      <x:c r="L69" s="41" t="str">
        <x:v>other discrimination; identity-based prejudice; inclusion</x:v>
      </x:c>
      <x:c r="M69" s="41" t="str">
        <x:v>专题页 + 日期筛选 + 主题词筛选</x:v>
      </x:c>
      <x:c r="N69" s="41" t="str">
        <x:v>V0—未确认 robots/条款/API</x:v>
      </x:c>
      <x:c r="O69" s="41" t="str">
        <x:v>候选-待核验</x:v>
      </x:c>
      <x:c r="P69" s="44"/>
      <x:c r="Q69" s="41" t="str">
        <x:v>仅作为场景素材入口；只抓取公开栏目与文章页，不采集评论、账号资料或其他个人信息。</x:v>
      </x:c>
      <x:c r="R69" s="41" t="str">
        <x:v>S09</x:v>
      </x:c>
      <x:c r="S69" s="41" t="str">
        <x:v>V0</x:v>
      </x:c>
      <x:c r="T69" s="41" t="str">
        <x:v>EV-09</x:v>
      </x:c>
      <x:c r="U69" s="41" t="str">
        <x:v>2026-08-26</x:v>
      </x:c>
      <x:c r="V69" s="41" t="str">
        <x:v>禁止：未取得与当前入口对应的程序化采集许可。</x:v>
      </x:c>
      <x:c r="W69" s="41" t="str"/>
      <x:c r="X69" s="41" t="str">
        <x:v>未确认可用于全文归档的程序化分发与字段范围。</x:v>
      </x:c>
    </x:row>
    <x:row r="70">
      <x:c r="A70" s="41" t="str">
        <x:v>A3-01-ZH-NATIVE-01</x:v>
      </x:c>
      <x:c r="B70" s="41" t="str">
        <x:v>A3-01</x:v>
      </x:c>
      <x:c r="C70" s="41" t="str">
        <x:v>国家知识产权局案例发布</x:v>
      </x:c>
      <x:c r="D70" s="41" t="str">
        <x:v>https://www.cnipa.gov.cn/col/col3668/index.html</x:v>
      </x:c>
      <x:c r="E70" s="41" t="str">
        <x:v>CN</x:v>
      </x:c>
      <x:c r="F70" s="41" t="str">
        <x:v>zh</x:v>
      </x:c>
      <x:c r="G70" s="41" t="str">
        <x:v>官方知识产权案例</x:v>
      </x:c>
      <x:c r="H70" s="41" t="str">
        <x:v>商业违法违规</x:v>
      </x:c>
      <x:c r="I70" s="41" t="str">
        <x:v>侵犯他人知识产权</x:v>
      </x:c>
      <x:c r="J70" s="41" t="str">
        <x:v>zh</x:v>
      </x:c>
      <x:c r="K70" s="41" t="str">
        <x:v>zh-native-01</x:v>
      </x:c>
      <x:c r="L70" s="41" t="str">
        <x:v>知识产权保护；商标、专利、版权；公开案例</x:v>
      </x:c>
      <x:c r="M70" s="41" t="str">
        <x:v>案例发布栏目 + 分类/站内检索</x:v>
      </x:c>
      <x:c r="N70" s="41" t="str">
        <x:v>V0—未确认 robots/条款/API</x:v>
      </x:c>
      <x:c r="O70" s="41" t="str">
        <x:v>候选-待核验</x:v>
      </x:c>
      <x:c r="P70" s="44"/>
      <x:c r="Q70" s="41" t="str">
        <x:v>仅作为场景素材入口；只抓取公开栏目与文章页，不采集评论、账号资料或其他个人信息。</x:v>
      </x:c>
      <x:c r="R70" s="41" t="str">
        <x:v>S06</x:v>
      </x:c>
      <x:c r="S70" s="41" t="str">
        <x:v>V0</x:v>
      </x:c>
      <x:c r="T70" s="41" t="str">
        <x:v>EV-06</x:v>
      </x:c>
      <x:c r="U70" s="41" t="str">
        <x:v>2026-08-26</x:v>
      </x:c>
      <x:c r="V70" s="41" t="str">
        <x:v>禁止：未取得与当前入口对应的程序化采集许可。</x:v>
      </x:c>
      <x:c r="W70" s="41" t="str"/>
      <x:c r="X70" s="41" t="str">
        <x:v>未确认可用于全文归档的程序化分发与字段范围。</x:v>
      </x:c>
    </x:row>
    <x:row r="71">
      <x:c r="A71" s="41" t="str">
        <x:v>A3-01-ZH-NATIVE-02</x:v>
      </x:c>
      <x:c r="B71" s="41" t="str">
        <x:v>A3-01</x:v>
      </x:c>
      <x:c r="C71" s="41" t="str">
        <x:v>国家市场监督管理总局</x:v>
      </x:c>
      <x:c r="D71" s="41" t="str">
        <x:v>https://www.samr.gov.cn/</x:v>
      </x:c>
      <x:c r="E71" s="41" t="str">
        <x:v>CN</x:v>
      </x:c>
      <x:c r="F71" s="41" t="str">
        <x:v>zh</x:v>
      </x:c>
      <x:c r="G71" s="41" t="str">
        <x:v>官方监管案例</x:v>
      </x:c>
      <x:c r="H71" s="41" t="str">
        <x:v>商业违法违规</x:v>
      </x:c>
      <x:c r="I71" s="41" t="str">
        <x:v>侵犯他人知识产权</x:v>
      </x:c>
      <x:c r="J71" s="41" t="str">
        <x:v>zh</x:v>
      </x:c>
      <x:c r="K71" s="41" t="str">
        <x:v>zh-native-02</x:v>
      </x:c>
      <x:c r="L71" s="41" t="str">
        <x:v>知识产权保护；商标、专利、版权；公开案例</x:v>
      </x:c>
      <x:c r="M71" s="41" t="str">
        <x:v>新闻/案例栏目 + 站内检索</x:v>
      </x:c>
      <x:c r="N71" s="41" t="str">
        <x:v>V0—未确认 robots/条款/API</x:v>
      </x:c>
      <x:c r="O71" s="41" t="str">
        <x:v>候选-待核验</x:v>
      </x:c>
      <x:c r="P71" s="44"/>
      <x:c r="Q71" s="41" t="str">
        <x:v>仅作为场景素材入口；只抓取公开栏目与文章页，不采集评论、账号资料或其他个人信息。</x:v>
      </x:c>
      <x:c r="R71" s="41" t="str">
        <x:v>S05</x:v>
      </x:c>
      <x:c r="S71" s="41" t="str">
        <x:v>V0</x:v>
      </x:c>
      <x:c r="T71" s="41" t="str">
        <x:v>EV-05</x:v>
      </x:c>
      <x:c r="U71" s="41" t="str">
        <x:v>2026-08-26</x:v>
      </x:c>
      <x:c r="V71" s="41" t="str">
        <x:v>禁止：未取得与当前入口对应的程序化采集许可。</x:v>
      </x:c>
      <x:c r="W71" s="41" t="str"/>
      <x:c r="X71" s="41" t="str">
        <x:v>未确认可用于全文归档的程序化分发与字段范围。</x:v>
      </x:c>
    </x:row>
    <x:row r="72">
      <x:c r="A72" s="41" t="str">
        <x:v>A3-01-ZH-LOCALIZED-01</x:v>
      </x:c>
      <x:c r="B72" s="41" t="str">
        <x:v>A3-01</x:v>
      </x:c>
      <x:c r="C72" s="41" t="str">
        <x:v>WIPO — Intellectual Property Enforcement</x:v>
      </x:c>
      <x:c r="D72" s="41" t="str">
        <x:v>https://www.wipo.int/en/web/ip-enforcement</x:v>
      </x:c>
      <x:c r="E72" s="41" t="str">
        <x:v>overseas</x:v>
      </x:c>
      <x:c r="F72" s="41" t="str">
        <x:v>en</x:v>
      </x:c>
      <x:c r="G72" s="41" t="str">
        <x:v>国际组织专题</x:v>
      </x:c>
      <x:c r="H72" s="41" t="str">
        <x:v>商业违法违规</x:v>
      </x:c>
      <x:c r="I72" s="41" t="str">
        <x:v>侵犯他人知识产权</x:v>
      </x:c>
      <x:c r="J72" s="41" t="str">
        <x:v>zh</x:v>
      </x:c>
      <x:c r="K72" s="41" t="str">
        <x:v>zh-localized-01</x:v>
      </x:c>
      <x:c r="L72" s="41" t="str">
        <x:v>IP enforcement; copyright, trademark and patent cases</x:v>
      </x:c>
      <x:c r="M72" s="41" t="str">
        <x:v>专题页/公开材料索引 + 主题词筛选</x:v>
      </x:c>
      <x:c r="N72" s="41" t="str">
        <x:v>V0—未确认 robots/条款/API</x:v>
      </x:c>
      <x:c r="O72" s="41" t="str">
        <x:v>候选-待核验</x:v>
      </x:c>
      <x:c r="P72" s="44"/>
      <x:c r="Q72" s="41" t="str">
        <x:v>仅作为场景素材入口；只抓取公开栏目与文章页，不采集评论、账号资料或其他个人信息。</x:v>
      </x:c>
      <x:c r="R72" s="41" t="str">
        <x:v>S11</x:v>
      </x:c>
      <x:c r="S72" s="41" t="str">
        <x:v>V0</x:v>
      </x:c>
      <x:c r="T72" s="41" t="str">
        <x:v>EV-11</x:v>
      </x:c>
      <x:c r="U72" s="41" t="str">
        <x:v>2026-08-26</x:v>
      </x:c>
      <x:c r="V72" s="41" t="str">
        <x:v>禁止：未取得与当前入口对应的程序化采集许可。</x:v>
      </x:c>
      <x:c r="W72" s="41" t="str"/>
      <x:c r="X72" s="41" t="str">
        <x:v>未确认可用于全文归档的程序化分发与字段范围。</x:v>
      </x:c>
    </x:row>
    <x:row r="73">
      <x:c r="A73" s="41" t="str">
        <x:v>A3-01-EN-01</x:v>
      </x:c>
      <x:c r="B73" s="41" t="str">
        <x:v>A3-01</x:v>
      </x:c>
      <x:c r="C73" s="41" t="str">
        <x:v>WIPO — Intellectual Property Enforcement</x:v>
      </x:c>
      <x:c r="D73" s="41" t="str">
        <x:v>https://www.wipo.int/en/web/ip-enforcement</x:v>
      </x:c>
      <x:c r="E73" s="41" t="str">
        <x:v>overseas</x:v>
      </x:c>
      <x:c r="F73" s="41" t="str">
        <x:v>en</x:v>
      </x:c>
      <x:c r="G73" s="41" t="str">
        <x:v>国际组织专题</x:v>
      </x:c>
      <x:c r="H73" s="41" t="str">
        <x:v>商业违法违规</x:v>
      </x:c>
      <x:c r="I73" s="41" t="str">
        <x:v>侵犯他人知识产权</x:v>
      </x:c>
      <x:c r="J73" s="41" t="str">
        <x:v>en</x:v>
      </x:c>
      <x:c r="K73" s="41" t="str">
        <x:v>en-01</x:v>
      </x:c>
      <x:c r="L73" s="41" t="str">
        <x:v>IP enforcement; copyright, trademark and patent cases</x:v>
      </x:c>
      <x:c r="M73" s="41" t="str">
        <x:v>专题页/公开材料索引 + 主题词筛选</x:v>
      </x:c>
      <x:c r="N73" s="41" t="str">
        <x:v>V0—未确认 robots/条款/API</x:v>
      </x:c>
      <x:c r="O73" s="41" t="str">
        <x:v>候选-待核验</x:v>
      </x:c>
      <x:c r="P73" s="44"/>
      <x:c r="Q73" s="41" t="str">
        <x:v>仅作为场景素材入口；只抓取公开栏目与文章页，不采集评论、账号资料或其他个人信息。</x:v>
      </x:c>
      <x:c r="R73" s="41" t="str">
        <x:v>S11</x:v>
      </x:c>
      <x:c r="S73" s="41" t="str">
        <x:v>V0</x:v>
      </x:c>
      <x:c r="T73" s="41" t="str">
        <x:v>EV-11</x:v>
      </x:c>
      <x:c r="U73" s="41" t="str">
        <x:v>2026-08-26</x:v>
      </x:c>
      <x:c r="V73" s="41" t="str">
        <x:v>禁止：未取得与当前入口对应的程序化采集许可。</x:v>
      </x:c>
      <x:c r="W73" s="41" t="str"/>
      <x:c r="X73" s="41" t="str">
        <x:v>未确认可用于全文归档的程序化分发与字段范围。</x:v>
      </x:c>
    </x:row>
    <x:row r="74">
      <x:c r="A74" s="41" t="str">
        <x:v>A3-02-ZH-NATIVE-01</x:v>
      </x:c>
      <x:c r="B74" s="41" t="str">
        <x:v>A3-02</x:v>
      </x:c>
      <x:c r="C74" s="41" t="str">
        <x:v>国家市场监督管理总局</x:v>
      </x:c>
      <x:c r="D74" s="41" t="str">
        <x:v>https://www.samr.gov.cn/</x:v>
      </x:c>
      <x:c r="E74" s="41" t="str">
        <x:v>CN</x:v>
      </x:c>
      <x:c r="F74" s="41" t="str">
        <x:v>zh</x:v>
      </x:c>
      <x:c r="G74" s="41" t="str">
        <x:v>官方监管案例</x:v>
      </x:c>
      <x:c r="H74" s="41" t="str">
        <x:v>商业违法违规</x:v>
      </x:c>
      <x:c r="I74" s="41" t="str">
        <x:v>违反商业道德</x:v>
      </x:c>
      <x:c r="J74" s="41" t="str">
        <x:v>zh</x:v>
      </x:c>
      <x:c r="K74" s="41" t="str">
        <x:v>zh-native-01</x:v>
      </x:c>
      <x:c r="L74" s="41" t="str">
        <x:v>商业贿赂；虚假宣传；商业诋毁；公平交易</x:v>
      </x:c>
      <x:c r="M74" s="41" t="str">
        <x:v>新闻/案例栏目 + 站内检索</x:v>
      </x:c>
      <x:c r="N74" s="41" t="str">
        <x:v>V0—未确认 robots/条款/API</x:v>
      </x:c>
      <x:c r="O74" s="41" t="str">
        <x:v>候选-待核验</x:v>
      </x:c>
      <x:c r="P74" s="44"/>
      <x:c r="Q74" s="41" t="str">
        <x:v>仅作为场景素材入口；只抓取公开栏目与文章页，不采集评论、账号资料或其他个人信息。</x:v>
      </x:c>
      <x:c r="R74" s="41" t="str">
        <x:v>S05</x:v>
      </x:c>
      <x:c r="S74" s="41" t="str">
        <x:v>V0</x:v>
      </x:c>
      <x:c r="T74" s="41" t="str">
        <x:v>EV-05</x:v>
      </x:c>
      <x:c r="U74" s="41" t="str">
        <x:v>2026-08-26</x:v>
      </x:c>
      <x:c r="V74" s="41" t="str">
        <x:v>禁止：未取得与当前入口对应的程序化采集许可。</x:v>
      </x:c>
      <x:c r="W74" s="41" t="str"/>
      <x:c r="X74" s="41" t="str">
        <x:v>未确认可用于全文归档的程序化分发与字段范围。</x:v>
      </x:c>
    </x:row>
    <x:row r="75">
      <x:c r="A75" s="41" t="str">
        <x:v>A3-02-ZH-NATIVE-02</x:v>
      </x:c>
      <x:c r="B75" s="41" t="str">
        <x:v>A3-02</x:v>
      </x:c>
      <x:c r="C75" s="41" t="str">
        <x:v>国家知识产权局案例发布</x:v>
      </x:c>
      <x:c r="D75" s="41" t="str">
        <x:v>https://www.cnipa.gov.cn/col/col3668/index.html</x:v>
      </x:c>
      <x:c r="E75" s="41" t="str">
        <x:v>CN</x:v>
      </x:c>
      <x:c r="F75" s="41" t="str">
        <x:v>zh</x:v>
      </x:c>
      <x:c r="G75" s="41" t="str">
        <x:v>官方知识产权案例</x:v>
      </x:c>
      <x:c r="H75" s="41" t="str">
        <x:v>商业违法违规</x:v>
      </x:c>
      <x:c r="I75" s="41" t="str">
        <x:v>违反商业道德</x:v>
      </x:c>
      <x:c r="J75" s="41" t="str">
        <x:v>zh</x:v>
      </x:c>
      <x:c r="K75" s="41" t="str">
        <x:v>zh-native-02</x:v>
      </x:c>
      <x:c r="L75" s="41" t="str">
        <x:v>商业贿赂；虚假宣传；商业诋毁；公平交易</x:v>
      </x:c>
      <x:c r="M75" s="41" t="str">
        <x:v>案例发布栏目 + 分类/站内检索</x:v>
      </x:c>
      <x:c r="N75" s="41" t="str">
        <x:v>V0—未确认 robots/条款/API</x:v>
      </x:c>
      <x:c r="O75" s="41" t="str">
        <x:v>候选-待核验</x:v>
      </x:c>
      <x:c r="P75" s="44"/>
      <x:c r="Q75" s="41" t="str">
        <x:v>仅作为场景素材入口；只抓取公开栏目与文章页，不采集评论、账号资料或其他个人信息。</x:v>
      </x:c>
      <x:c r="R75" s="41" t="str">
        <x:v>S06</x:v>
      </x:c>
      <x:c r="S75" s="41" t="str">
        <x:v>V0</x:v>
      </x:c>
      <x:c r="T75" s="41" t="str">
        <x:v>EV-06</x:v>
      </x:c>
      <x:c r="U75" s="41" t="str">
        <x:v>2026-08-26</x:v>
      </x:c>
      <x:c r="V75" s="41" t="str">
        <x:v>禁止：未取得与当前入口对应的程序化采集许可。</x:v>
      </x:c>
      <x:c r="W75" s="41" t="str"/>
      <x:c r="X75" s="41" t="str">
        <x:v>未确认可用于全文归档的程序化分发与字段范围。</x:v>
      </x:c>
    </x:row>
    <x:row r="76">
      <x:c r="A76" s="41" t="str">
        <x:v>A3-02-ZH-LOCALIZED-01</x:v>
      </x:c>
      <x:c r="B76" s="41" t="str">
        <x:v>A3-02</x:v>
      </x:c>
      <x:c r="C76" s="41" t="str">
        <x:v>U.S. FTC — Mergers and Competition</x:v>
      </x:c>
      <x:c r="D76" s="41" t="str">
        <x:v>https://www.ftc.gov/news-events/topics/competition-enforcement</x:v>
      </x:c>
      <x:c r="E76" s="41" t="str">
        <x:v>overseas</x:v>
      </x:c>
      <x:c r="F76" s="41" t="str">
        <x:v>en</x:v>
      </x:c>
      <x:c r="G76" s="41" t="str">
        <x:v>监管竞争资讯</x:v>
      </x:c>
      <x:c r="H76" s="41" t="str">
        <x:v>商业违法违规</x:v>
      </x:c>
      <x:c r="I76" s="41" t="str">
        <x:v>违反商业道德</x:v>
      </x:c>
      <x:c r="J76" s="41" t="str">
        <x:v>zh</x:v>
      </x:c>
      <x:c r="K76" s="41" t="str">
        <x:v>zh-localized-01</x:v>
      </x:c>
      <x:c r="L76" s="41" t="str">
        <x:v>deceptive practices; fair competition; consumer protection</x:v>
      </x:c>
      <x:c r="M76" s="41" t="str">
        <x:v>专题页 + 公开新闻/案件链接筛选</x:v>
      </x:c>
      <x:c r="N76" s="41" t="str">
        <x:v>V0—未确认 robots/条款/API</x:v>
      </x:c>
      <x:c r="O76" s="41" t="str">
        <x:v>候选-待核验</x:v>
      </x:c>
      <x:c r="P76" s="44"/>
      <x:c r="Q76" s="41" t="str">
        <x:v>仅作为场景素材入口；只抓取公开栏目与文章页，不采集评论、账号资料或其他个人信息。</x:v>
      </x:c>
      <x:c r="R76" s="41" t="str">
        <x:v>S15</x:v>
      </x:c>
      <x:c r="S76" s="41" t="str">
        <x:v>V0</x:v>
      </x:c>
      <x:c r="T76" s="41" t="str">
        <x:v>EV-15</x:v>
      </x:c>
      <x:c r="U76" s="41" t="str">
        <x:v>2026-08-26</x:v>
      </x:c>
      <x:c r="V76" s="41" t="str">
        <x:v>禁止：未取得与当前入口对应的程序化采集许可。</x:v>
      </x:c>
      <x:c r="W76" s="41" t="str"/>
      <x:c r="X76" s="41" t="str">
        <x:v>未确认可用于全文归档的程序化分发与字段范围。</x:v>
      </x:c>
    </x:row>
    <x:row r="77">
      <x:c r="A77" s="41" t="str">
        <x:v>A3-02-EN-01</x:v>
      </x:c>
      <x:c r="B77" s="41" t="str">
        <x:v>A3-02</x:v>
      </x:c>
      <x:c r="C77" s="41" t="str">
        <x:v>U.S. FTC — Mergers and Competition</x:v>
      </x:c>
      <x:c r="D77" s="41" t="str">
        <x:v>https://www.ftc.gov/news-events/topics/competition-enforcement</x:v>
      </x:c>
      <x:c r="E77" s="41" t="str">
        <x:v>overseas</x:v>
      </x:c>
      <x:c r="F77" s="41" t="str">
        <x:v>en</x:v>
      </x:c>
      <x:c r="G77" s="41" t="str">
        <x:v>监管竞争资讯</x:v>
      </x:c>
      <x:c r="H77" s="41" t="str">
        <x:v>商业违法违规</x:v>
      </x:c>
      <x:c r="I77" s="41" t="str">
        <x:v>违反商业道德</x:v>
      </x:c>
      <x:c r="J77" s="41" t="str">
        <x:v>en</x:v>
      </x:c>
      <x:c r="K77" s="41" t="str">
        <x:v>en-01</x:v>
      </x:c>
      <x:c r="L77" s="41" t="str">
        <x:v>deceptive practices; fair competition; consumer protection</x:v>
      </x:c>
      <x:c r="M77" s="41" t="str">
        <x:v>专题页 + 公开新闻/案件链接筛选</x:v>
      </x:c>
      <x:c r="N77" s="41" t="str">
        <x:v>V0—未确认 robots/条款/API</x:v>
      </x:c>
      <x:c r="O77" s="41" t="str">
        <x:v>候选-待核验</x:v>
      </x:c>
      <x:c r="P77" s="44"/>
      <x:c r="Q77" s="41" t="str">
        <x:v>仅作为场景素材入口；只抓取公开栏目与文章页，不采集评论、账号资料或其他个人信息。</x:v>
      </x:c>
      <x:c r="R77" s="41" t="str">
        <x:v>S15</x:v>
      </x:c>
      <x:c r="S77" s="41" t="str">
        <x:v>V0</x:v>
      </x:c>
      <x:c r="T77" s="41" t="str">
        <x:v>EV-15</x:v>
      </x:c>
      <x:c r="U77" s="41" t="str">
        <x:v>2026-08-26</x:v>
      </x:c>
      <x:c r="V77" s="41" t="str">
        <x:v>禁止：未取得与当前入口对应的程序化采集许可。</x:v>
      </x:c>
      <x:c r="W77" s="41" t="str"/>
      <x:c r="X77" s="41" t="str">
        <x:v>未确认可用于全文归档的程序化分发与字段范围。</x:v>
      </x:c>
    </x:row>
    <x:row r="78">
      <x:c r="A78" s="41" t="str">
        <x:v>A3-03-ZH-NATIVE-01</x:v>
      </x:c>
      <x:c r="B78" s="41" t="str">
        <x:v>A3-03</x:v>
      </x:c>
      <x:c r="C78" s="41" t="str">
        <x:v>国家市场监督管理总局</x:v>
      </x:c>
      <x:c r="D78" s="41" t="str">
        <x:v>https://www.samr.gov.cn/</x:v>
      </x:c>
      <x:c r="E78" s="41" t="str">
        <x:v>CN</x:v>
      </x:c>
      <x:c r="F78" s="41" t="str">
        <x:v>zh</x:v>
      </x:c>
      <x:c r="G78" s="41" t="str">
        <x:v>官方监管案例</x:v>
      </x:c>
      <x:c r="H78" s="41" t="str">
        <x:v>商业违法违规</x:v>
      </x:c>
      <x:c r="I78" s="41" t="str">
        <x:v>泄露他人商业秘密</x:v>
      </x:c>
      <x:c r="J78" s="41" t="str">
        <x:v>zh</x:v>
      </x:c>
      <x:c r="K78" s="41" t="str">
        <x:v>zh-native-01</x:v>
      </x:c>
      <x:c r="L78" s="41" t="str">
        <x:v>商业秘密保护；技术信息；经营合规案例</x:v>
      </x:c>
      <x:c r="M78" s="41" t="str">
        <x:v>新闻/案例栏目 + 站内检索</x:v>
      </x:c>
      <x:c r="N78" s="41" t="str">
        <x:v>V0—未确认 robots/条款/API</x:v>
      </x:c>
      <x:c r="O78" s="41" t="str">
        <x:v>候选-待核验</x:v>
      </x:c>
      <x:c r="P78" s="44"/>
      <x:c r="Q78" s="41" t="str">
        <x:v>仅作为场景素材入口；只抓取公开栏目与文章页，不采集评论、账号资料或其他个人信息。</x:v>
      </x:c>
      <x:c r="R78" s="41" t="str">
        <x:v>S05</x:v>
      </x:c>
      <x:c r="S78" s="41" t="str">
        <x:v>V0</x:v>
      </x:c>
      <x:c r="T78" s="41" t="str">
        <x:v>EV-05</x:v>
      </x:c>
      <x:c r="U78" s="41" t="str">
        <x:v>2026-08-26</x:v>
      </x:c>
      <x:c r="V78" s="41" t="str">
        <x:v>禁止：未取得与当前入口对应的程序化采集许可。</x:v>
      </x:c>
      <x:c r="W78" s="41" t="str"/>
      <x:c r="X78" s="41" t="str">
        <x:v>未确认可用于全文归档的程序化分发与字段范围。</x:v>
      </x:c>
    </x:row>
    <x:row r="79">
      <x:c r="A79" s="41" t="str">
        <x:v>A3-03-ZH-NATIVE-02</x:v>
      </x:c>
      <x:c r="B79" s="41" t="str">
        <x:v>A3-03</x:v>
      </x:c>
      <x:c r="C79" s="41" t="str">
        <x:v>国家知识产权局案例发布</x:v>
      </x:c>
      <x:c r="D79" s="41" t="str">
        <x:v>https://www.cnipa.gov.cn/col/col3668/index.html</x:v>
      </x:c>
      <x:c r="E79" s="41" t="str">
        <x:v>CN</x:v>
      </x:c>
      <x:c r="F79" s="41" t="str">
        <x:v>zh</x:v>
      </x:c>
      <x:c r="G79" s="41" t="str">
        <x:v>官方知识产权案例</x:v>
      </x:c>
      <x:c r="H79" s="41" t="str">
        <x:v>商业违法违规</x:v>
      </x:c>
      <x:c r="I79" s="41" t="str">
        <x:v>泄露他人商业秘密</x:v>
      </x:c>
      <x:c r="J79" s="41" t="str">
        <x:v>zh</x:v>
      </x:c>
      <x:c r="K79" s="41" t="str">
        <x:v>zh-native-02</x:v>
      </x:c>
      <x:c r="L79" s="41" t="str">
        <x:v>商业秘密保护；技术信息；经营合规案例</x:v>
      </x:c>
      <x:c r="M79" s="41" t="str">
        <x:v>案例发布栏目 + 分类/站内检索</x:v>
      </x:c>
      <x:c r="N79" s="41" t="str">
        <x:v>V0—未确认 robots/条款/API</x:v>
      </x:c>
      <x:c r="O79" s="41" t="str">
        <x:v>候选-待核验</x:v>
      </x:c>
      <x:c r="P79" s="44"/>
      <x:c r="Q79" s="41" t="str">
        <x:v>仅作为场景素材入口；只抓取公开栏目与文章页，不采集评论、账号资料或其他个人信息。</x:v>
      </x:c>
      <x:c r="R79" s="41" t="str">
        <x:v>S06</x:v>
      </x:c>
      <x:c r="S79" s="41" t="str">
        <x:v>V0</x:v>
      </x:c>
      <x:c r="T79" s="41" t="str">
        <x:v>EV-06</x:v>
      </x:c>
      <x:c r="U79" s="41" t="str">
        <x:v>2026-08-26</x:v>
      </x:c>
      <x:c r="V79" s="41" t="str">
        <x:v>禁止：未取得与当前入口对应的程序化采集许可。</x:v>
      </x:c>
      <x:c r="W79" s="41" t="str"/>
      <x:c r="X79" s="41" t="str">
        <x:v>未确认可用于全文归档的程序化分发与字段范围。</x:v>
      </x:c>
    </x:row>
    <x:row r="80">
      <x:c r="A80" s="41" t="str">
        <x:v>A3-03-ZH-LOCALIZED-01</x:v>
      </x:c>
      <x:c r="B80" s="41" t="str">
        <x:v>A3-03</x:v>
      </x:c>
      <x:c r="C80" s="41" t="str">
        <x:v>WIPO — Intellectual Property Enforcement</x:v>
      </x:c>
      <x:c r="D80" s="41" t="str">
        <x:v>https://www.wipo.int/en/web/ip-enforcement</x:v>
      </x:c>
      <x:c r="E80" s="41" t="str">
        <x:v>overseas</x:v>
      </x:c>
      <x:c r="F80" s="41" t="str">
        <x:v>en</x:v>
      </x:c>
      <x:c r="G80" s="41" t="str">
        <x:v>国际组织专题</x:v>
      </x:c>
      <x:c r="H80" s="41" t="str">
        <x:v>商业违法违规</x:v>
      </x:c>
      <x:c r="I80" s="41" t="str">
        <x:v>泄露他人商业秘密</x:v>
      </x:c>
      <x:c r="J80" s="41" t="str">
        <x:v>zh</x:v>
      </x:c>
      <x:c r="K80" s="41" t="str">
        <x:v>zh-localized-01</x:v>
      </x:c>
      <x:c r="L80" s="41" t="str">
        <x:v>trade secrets; confidential business information; IP enforcement</x:v>
      </x:c>
      <x:c r="M80" s="41" t="str">
        <x:v>专题页/公开材料索引 + 主题词筛选</x:v>
      </x:c>
      <x:c r="N80" s="41" t="str">
        <x:v>V0—未确认 robots/条款/API</x:v>
      </x:c>
      <x:c r="O80" s="41" t="str">
        <x:v>候选-待核验</x:v>
      </x:c>
      <x:c r="P80" s="44"/>
      <x:c r="Q80" s="41" t="str">
        <x:v>仅作为场景素材入口；只抓取公开栏目与文章页，不采集评论、账号资料或其他个人信息。</x:v>
      </x:c>
      <x:c r="R80" s="41" t="str">
        <x:v>S11</x:v>
      </x:c>
      <x:c r="S80" s="41" t="str">
        <x:v>V0</x:v>
      </x:c>
      <x:c r="T80" s="41" t="str">
        <x:v>EV-11</x:v>
      </x:c>
      <x:c r="U80" s="41" t="str">
        <x:v>2026-08-26</x:v>
      </x:c>
      <x:c r="V80" s="41" t="str">
        <x:v>禁止：未取得与当前入口对应的程序化采集许可。</x:v>
      </x:c>
      <x:c r="W80" s="41" t="str"/>
      <x:c r="X80" s="41" t="str">
        <x:v>未确认可用于全文归档的程序化分发与字段范围。</x:v>
      </x:c>
    </x:row>
    <x:row r="81">
      <x:c r="A81" s="41" t="str">
        <x:v>A3-03-EN-01</x:v>
      </x:c>
      <x:c r="B81" s="41" t="str">
        <x:v>A3-03</x:v>
      </x:c>
      <x:c r="C81" s="41" t="str">
        <x:v>WIPO — Intellectual Property Enforcement</x:v>
      </x:c>
      <x:c r="D81" s="41" t="str">
        <x:v>https://www.wipo.int/en/web/ip-enforcement</x:v>
      </x:c>
      <x:c r="E81" s="41" t="str">
        <x:v>overseas</x:v>
      </x:c>
      <x:c r="F81" s="41" t="str">
        <x:v>en</x:v>
      </x:c>
      <x:c r="G81" s="41" t="str">
        <x:v>国际组织专题</x:v>
      </x:c>
      <x:c r="H81" s="41" t="str">
        <x:v>商业违法违规</x:v>
      </x:c>
      <x:c r="I81" s="41" t="str">
        <x:v>泄露他人商业秘密</x:v>
      </x:c>
      <x:c r="J81" s="41" t="str">
        <x:v>en</x:v>
      </x:c>
      <x:c r="K81" s="41" t="str">
        <x:v>en-01</x:v>
      </x:c>
      <x:c r="L81" s="41" t="str">
        <x:v>trade secrets; confidential business information; IP enforcement</x:v>
      </x:c>
      <x:c r="M81" s="41" t="str">
        <x:v>专题页/公开材料索引 + 主题词筛选</x:v>
      </x:c>
      <x:c r="N81" s="41" t="str">
        <x:v>V0—未确认 robots/条款/API</x:v>
      </x:c>
      <x:c r="O81" s="41" t="str">
        <x:v>候选-待核验</x:v>
      </x:c>
      <x:c r="P81" s="44"/>
      <x:c r="Q81" s="41" t="str">
        <x:v>仅作为场景素材入口；只抓取公开栏目与文章页，不采集评论、账号资料或其他个人信息。</x:v>
      </x:c>
      <x:c r="R81" s="41" t="str">
        <x:v>S11</x:v>
      </x:c>
      <x:c r="S81" s="41" t="str">
        <x:v>V0</x:v>
      </x:c>
      <x:c r="T81" s="41" t="str">
        <x:v>EV-11</x:v>
      </x:c>
      <x:c r="U81" s="41" t="str">
        <x:v>2026-08-26</x:v>
      </x:c>
      <x:c r="V81" s="41" t="str">
        <x:v>禁止：未取得与当前入口对应的程序化采集许可。</x:v>
      </x:c>
      <x:c r="W81" s="41" t="str"/>
      <x:c r="X81" s="41" t="str">
        <x:v>未确认可用于全文归档的程序化分发与字段范围。</x:v>
      </x:c>
    </x:row>
    <x:row r="82">
      <x:c r="A82" s="41" t="str">
        <x:v>A3-04-ZH-NATIVE-01</x:v>
      </x:c>
      <x:c r="B82" s="41" t="str">
        <x:v>A3-04</x:v>
      </x:c>
      <x:c r="C82" s="41" t="str">
        <x:v>国家市场监督管理总局</x:v>
      </x:c>
      <x:c r="D82" s="41" t="str">
        <x:v>https://www.samr.gov.cn/</x:v>
      </x:c>
      <x:c r="E82" s="41" t="str">
        <x:v>CN</x:v>
      </x:c>
      <x:c r="F82" s="41" t="str">
        <x:v>zh</x:v>
      </x:c>
      <x:c r="G82" s="41" t="str">
        <x:v>官方监管案例</x:v>
      </x:c>
      <x:c r="H82" s="41" t="str">
        <x:v>商业违法违规</x:v>
      </x:c>
      <x:c r="I82" s="41" t="str">
        <x:v>利用算法、数据、平台等优势实施垄断和不正当竞争</x:v>
      </x:c>
      <x:c r="J82" s="41" t="str">
        <x:v>zh</x:v>
      </x:c>
      <x:c r="K82" s="41" t="str">
        <x:v>zh-native-01</x:v>
      </x:c>
      <x:c r="L82" s="41" t="str">
        <x:v>平台竞争；数据算法；市场支配；公平竞争</x:v>
      </x:c>
      <x:c r="M82" s="41" t="str">
        <x:v>新闻/案例栏目 + 站内检索</x:v>
      </x:c>
      <x:c r="N82" s="41" t="str">
        <x:v>V0—未确认 robots/条款/API</x:v>
      </x:c>
      <x:c r="O82" s="41" t="str">
        <x:v>候选-待核验</x:v>
      </x:c>
      <x:c r="P82" s="44"/>
      <x:c r="Q82" s="41" t="str">
        <x:v>仅作为场景素材入口；只抓取公开栏目与文章页，不采集评论、账号资料或其他个人信息。</x:v>
      </x:c>
      <x:c r="R82" s="41" t="str">
        <x:v>S05</x:v>
      </x:c>
      <x:c r="S82" s="41" t="str">
        <x:v>V0</x:v>
      </x:c>
      <x:c r="T82" s="41" t="str">
        <x:v>EV-05</x:v>
      </x:c>
      <x:c r="U82" s="41" t="str">
        <x:v>2026-08-26</x:v>
      </x:c>
      <x:c r="V82" s="41" t="str">
        <x:v>禁止：未取得与当前入口对应的程序化采集许可。</x:v>
      </x:c>
      <x:c r="W82" s="41" t="str"/>
      <x:c r="X82" s="41" t="str">
        <x:v>未确认可用于全文归档的程序化分发与字段范围。</x:v>
      </x:c>
    </x:row>
    <x:row r="83">
      <x:c r="A83" s="41" t="str">
        <x:v>A3-04-ZH-NATIVE-02</x:v>
      </x:c>
      <x:c r="B83" s="41" t="str">
        <x:v>A3-04</x:v>
      </x:c>
      <x:c r="C83" s="41" t="str">
        <x:v>最高人民法院</x:v>
      </x:c>
      <x:c r="D83" s="41" t="str">
        <x:v>https://www.court.gov.cn/</x:v>
      </x:c>
      <x:c r="E83" s="41" t="str">
        <x:v>CN</x:v>
      </x:c>
      <x:c r="F83" s="41" t="str">
        <x:v>zh</x:v>
      </x:c>
      <x:c r="G83" s="41" t="str">
        <x:v>官方司法案例</x:v>
      </x:c>
      <x:c r="H83" s="41" t="str">
        <x:v>商业违法违规</x:v>
      </x:c>
      <x:c r="I83" s="41" t="str">
        <x:v>利用算法、数据、平台等优势实施垄断和不正当竞争</x:v>
      </x:c>
      <x:c r="J83" s="41" t="str">
        <x:v>zh</x:v>
      </x:c>
      <x:c r="K83" s="41" t="str">
        <x:v>zh-native-02</x:v>
      </x:c>
      <x:c r="L83" s="41" t="str">
        <x:v>平台竞争；数据算法；市场支配；公平竞争</x:v>
      </x:c>
      <x:c r="M83" s="41" t="str">
        <x:v>案例/新闻栏目 + 站内检索</x:v>
      </x:c>
      <x:c r="N83" s="41" t="str">
        <x:v>V0—未确认 robots/条款/API</x:v>
      </x:c>
      <x:c r="O83" s="41" t="str">
        <x:v>候选-待核验</x:v>
      </x:c>
      <x:c r="P83" s="44"/>
      <x:c r="Q83" s="41" t="str">
        <x:v>仅作为场景素材入口；只抓取公开栏目与文章页，不采集评论、账号资料或其他个人信息。</x:v>
      </x:c>
      <x:c r="R83" s="41" t="str">
        <x:v>S07</x:v>
      </x:c>
      <x:c r="S83" s="41" t="str">
        <x:v>V0</x:v>
      </x:c>
      <x:c r="T83" s="41" t="str">
        <x:v>EV-07</x:v>
      </x:c>
      <x:c r="U83" s="41" t="str">
        <x:v>2026-08-26</x:v>
      </x:c>
      <x:c r="V83" s="41" t="str">
        <x:v>禁止：未取得与当前入口对应的程序化采集许可。</x:v>
      </x:c>
      <x:c r="W83" s="41" t="str"/>
      <x:c r="X83" s="41" t="str">
        <x:v>未确认可用于全文归档的程序化分发与字段范围。</x:v>
      </x:c>
    </x:row>
    <x:row r="84">
      <x:c r="A84" s="41" t="str">
        <x:v>A3-04-ZH-LOCALIZED-01</x:v>
      </x:c>
      <x:c r="B84" s="41" t="str">
        <x:v>A3-04</x:v>
      </x:c>
      <x:c r="C84" s="41" t="str">
        <x:v>European Commission — Antitrust and Cartel Case Open Data</x:v>
      </x:c>
      <x:c r="D84" s="41" t="str">
        <x:v>https://data.europa.eu/data/datasets/18489cb7-bce7-4d44-a138-795b390d2109~~1?locale=en</x:v>
      </x:c>
      <x:c r="E84" s="41" t="str">
        <x:v>overseas</x:v>
      </x:c>
      <x:c r="F84" s="41" t="str">
        <x:v>en</x:v>
      </x:c>
      <x:c r="G84" s="41" t="str">
        <x:v>官方开放数据集</x:v>
      </x:c>
      <x:c r="H84" s="41" t="str">
        <x:v>商业违法违规</x:v>
      </x:c>
      <x:c r="I84" s="41" t="str">
        <x:v>利用算法、数据、平台等优势实施垄断和不正当竞争</x:v>
      </x:c>
      <x:c r="J84" s="41" t="str">
        <x:v>zh</x:v>
      </x:c>
      <x:c r="K84" s="41" t="str">
        <x:v>zh-localized-01</x:v>
      </x:c>
      <x:c r="L84" s="41" t="str">
        <x:v>competition enforcement; data/platform power; anticompetitive practices</x:v>
      </x:c>
      <x:c r="M84" s="41" t="str">
        <x:v>官方 JSON 分发 + 限定字段筛选（案件元数据）</x:v>
      </x:c>
      <x:c r="N84" s="41" t="str">
        <x:v>V3—官方开放数据集；仅 JSON 分发</x:v>
      </x:c>
      <x:c r="O84" s="41" t="str">
        <x:v>已启用-受限接口</x:v>
      </x:c>
      <x:c r="P84" s="44"/>
      <x:c r="Q84" s="41" t="str">
        <x:v>仅作为场景素材入口；只抓取公开栏目与文章页，不采集评论、账号资料或其他个人信息。</x:v>
      </x:c>
      <x:c r="R84" s="41" t="str">
        <x:v>S12</x:v>
      </x:c>
      <x:c r="S84" s="41" t="str">
        <x:v>V3</x:v>
      </x:c>
      <x:c r="T84" s="41" t="str">
        <x:v>EV-12, EV-17, EV-18</x:v>
      </x:c>
      <x:c r="U84" s="41" t="str">
        <x:v>2026-08-26</x:v>
      </x:c>
      <x:c r="V84" s="41" t="str">
        <x:v>允许：仅人工启动，且仅经官方 JSON 分发读取公共案件元数据。</x:v>
      </x:c>
      <x:c r="W84" s="41" t="str"/>
      <x:c r="X84" s="41" t="str">
        <x:v>仅案件公共元数据；不允许完整正文归档；待人工补录可复查的 JSON 分发 URL 后，才可按字段范围启用。</x:v>
      </x:c>
    </x:row>
    <x:row r="85">
      <x:c r="A85" s="41" t="str">
        <x:v>A3-04-EN-01</x:v>
      </x:c>
      <x:c r="B85" s="41" t="str">
        <x:v>A3-04</x:v>
      </x:c>
      <x:c r="C85" s="41" t="str">
        <x:v>U.S. FTC — Mergers and Competition</x:v>
      </x:c>
      <x:c r="D85" s="41" t="str">
        <x:v>https://www.ftc.gov/news-events/topics/competition-enforcement</x:v>
      </x:c>
      <x:c r="E85" s="41" t="str">
        <x:v>overseas</x:v>
      </x:c>
      <x:c r="F85" s="41" t="str">
        <x:v>en</x:v>
      </x:c>
      <x:c r="G85" s="41" t="str">
        <x:v>监管竞争资讯</x:v>
      </x:c>
      <x:c r="H85" s="41" t="str">
        <x:v>商业违法违规</x:v>
      </x:c>
      <x:c r="I85" s="41" t="str">
        <x:v>利用算法、数据、平台等优势实施垄断和不正当竞争</x:v>
      </x:c>
      <x:c r="J85" s="41" t="str">
        <x:v>en</x:v>
      </x:c>
      <x:c r="K85" s="41" t="str">
        <x:v>en-01</x:v>
      </x:c>
      <x:c r="L85" s="41" t="str">
        <x:v>competition enforcement; data/platform power; anticompetitive practices</x:v>
      </x:c>
      <x:c r="M85" s="41" t="str">
        <x:v>专题页 + 公开新闻/案件链接筛选</x:v>
      </x:c>
      <x:c r="N85" s="41" t="str">
        <x:v>V0—未确认 robots/条款/API</x:v>
      </x:c>
      <x:c r="O85" s="41" t="str">
        <x:v>候选-待核验</x:v>
      </x:c>
      <x:c r="P85" s="44"/>
      <x:c r="Q85" s="41" t="str">
        <x:v>仅作为场景素材入口；只抓取公开栏目与文章页，不采集评论、账号资料或其他个人信息。</x:v>
      </x:c>
      <x:c r="R85" s="41" t="str">
        <x:v>S15</x:v>
      </x:c>
      <x:c r="S85" s="41" t="str">
        <x:v>V0</x:v>
      </x:c>
      <x:c r="T85" s="41" t="str">
        <x:v>EV-15</x:v>
      </x:c>
      <x:c r="U85" s="41" t="str">
        <x:v>2026-08-26</x:v>
      </x:c>
      <x:c r="V85" s="41" t="str">
        <x:v>禁止：未取得与当前入口对应的程序化采集许可。</x:v>
      </x:c>
      <x:c r="W85" s="41" t="str"/>
      <x:c r="X85" s="41" t="str">
        <x:v>未确认可用于全文归档的程序化分发与字段范围。</x:v>
      </x:c>
    </x:row>
    <x:row r="86">
      <x:c r="A86" s="41" t="str">
        <x:v>A3-05-ZH-NATIVE-01</x:v>
      </x:c>
      <x:c r="B86" s="41" t="str">
        <x:v>A3-05</x:v>
      </x:c>
      <x:c r="C86" s="41" t="str">
        <x:v>国家市场监督管理总局</x:v>
      </x:c>
      <x:c r="D86" s="41" t="str">
        <x:v>https://www.samr.gov.cn/</x:v>
      </x:c>
      <x:c r="E86" s="41" t="str">
        <x:v>CN</x:v>
      </x:c>
      <x:c r="F86" s="41" t="str">
        <x:v>zh</x:v>
      </x:c>
      <x:c r="G86" s="41" t="str">
        <x:v>官方监管案例</x:v>
      </x:c>
      <x:c r="H86" s="41" t="str">
        <x:v>商业违法违规</x:v>
      </x:c>
      <x:c r="I86" s="41" t="str">
        <x:v>其他商业违法违规行为</x:v>
      </x:c>
      <x:c r="J86" s="41" t="str">
        <x:v>zh</x:v>
      </x:c>
      <x:c r="K86" s="41" t="str">
        <x:v>zh-native-01</x:v>
      </x:c>
      <x:c r="L86" s="41" t="str">
        <x:v>商业合规；市场监管；消费者权益；公开案例</x:v>
      </x:c>
      <x:c r="M86" s="41" t="str">
        <x:v>新闻/案例栏目 + 站内检索</x:v>
      </x:c>
      <x:c r="N86" s="41" t="str">
        <x:v>V0—未确认 robots/条款/API</x:v>
      </x:c>
      <x:c r="O86" s="41" t="str">
        <x:v>候选-待核验</x:v>
      </x:c>
      <x:c r="P86" s="44"/>
      <x:c r="Q86" s="41" t="str">
        <x:v>仅作为场景素材入口；只抓取公开栏目与文章页，不采集评论、账号资料或其他个人信息。</x:v>
      </x:c>
      <x:c r="R86" s="41" t="str">
        <x:v>S05</x:v>
      </x:c>
      <x:c r="S86" s="41" t="str">
        <x:v>V0</x:v>
      </x:c>
      <x:c r="T86" s="41" t="str">
        <x:v>EV-05</x:v>
      </x:c>
      <x:c r="U86" s="41" t="str">
        <x:v>2026-08-26</x:v>
      </x:c>
      <x:c r="V86" s="41" t="str">
        <x:v>禁止：未取得与当前入口对应的程序化采集许可。</x:v>
      </x:c>
      <x:c r="W86" s="41" t="str"/>
      <x:c r="X86" s="41" t="str">
        <x:v>未确认可用于全文归档的程序化分发与字段范围。</x:v>
      </x:c>
    </x:row>
    <x:row r="87">
      <x:c r="A87" s="41" t="str">
        <x:v>A3-05-ZH-NATIVE-02</x:v>
      </x:c>
      <x:c r="B87" s="41" t="str">
        <x:v>A3-05</x:v>
      </x:c>
      <x:c r="C87" s="41" t="str">
        <x:v>国家知识产权局案例发布</x:v>
      </x:c>
      <x:c r="D87" s="41" t="str">
        <x:v>https://www.cnipa.gov.cn/col/col3668/index.html</x:v>
      </x:c>
      <x:c r="E87" s="41" t="str">
        <x:v>CN</x:v>
      </x:c>
      <x:c r="F87" s="41" t="str">
        <x:v>zh</x:v>
      </x:c>
      <x:c r="G87" s="41" t="str">
        <x:v>官方知识产权案例</x:v>
      </x:c>
      <x:c r="H87" s="41" t="str">
        <x:v>商业违法违规</x:v>
      </x:c>
      <x:c r="I87" s="41" t="str">
        <x:v>其他商业违法违规行为</x:v>
      </x:c>
      <x:c r="J87" s="41" t="str">
        <x:v>zh</x:v>
      </x:c>
      <x:c r="K87" s="41" t="str">
        <x:v>zh-native-02</x:v>
      </x:c>
      <x:c r="L87" s="41" t="str">
        <x:v>商业合规；市场监管；消费者权益；公开案例</x:v>
      </x:c>
      <x:c r="M87" s="41" t="str">
        <x:v>案例发布栏目 + 分类/站内检索</x:v>
      </x:c>
      <x:c r="N87" s="41" t="str">
        <x:v>V0—未确认 robots/条款/API</x:v>
      </x:c>
      <x:c r="O87" s="41" t="str">
        <x:v>候选-待核验</x:v>
      </x:c>
      <x:c r="P87" s="44"/>
      <x:c r="Q87" s="41" t="str">
        <x:v>仅作为场景素材入口；只抓取公开栏目与文章页，不采集评论、账号资料或其他个人信息。</x:v>
      </x:c>
      <x:c r="R87" s="41" t="str">
        <x:v>S06</x:v>
      </x:c>
      <x:c r="S87" s="41" t="str">
        <x:v>V0</x:v>
      </x:c>
      <x:c r="T87" s="41" t="str">
        <x:v>EV-06</x:v>
      </x:c>
      <x:c r="U87" s="41" t="str">
        <x:v>2026-08-26</x:v>
      </x:c>
      <x:c r="V87" s="41" t="str">
        <x:v>禁止：未取得与当前入口对应的程序化采集许可。</x:v>
      </x:c>
      <x:c r="W87" s="41" t="str"/>
      <x:c r="X87" s="41" t="str">
        <x:v>未确认可用于全文归档的程序化分发与字段范围。</x:v>
      </x:c>
    </x:row>
    <x:row r="88">
      <x:c r="A88" s="41" t="str">
        <x:v>A3-05-ZH-LOCALIZED-01</x:v>
      </x:c>
      <x:c r="B88" s="41" t="str">
        <x:v>A3-05</x:v>
      </x:c>
      <x:c r="C88" s="41" t="str">
        <x:v>U.S. FTC — Mergers and Competition</x:v>
      </x:c>
      <x:c r="D88" s="41" t="str">
        <x:v>https://www.ftc.gov/news-events/topics/competition-enforcement</x:v>
      </x:c>
      <x:c r="E88" s="41" t="str">
        <x:v>overseas</x:v>
      </x:c>
      <x:c r="F88" s="41" t="str">
        <x:v>en</x:v>
      </x:c>
      <x:c r="G88" s="41" t="str">
        <x:v>监管竞争资讯</x:v>
      </x:c>
      <x:c r="H88" s="41" t="str">
        <x:v>商业违法违规</x:v>
      </x:c>
      <x:c r="I88" s="41" t="str">
        <x:v>其他商业违法违规行为</x:v>
      </x:c>
      <x:c r="J88" s="41" t="str">
        <x:v>zh</x:v>
      </x:c>
      <x:c r="K88" s="41" t="str">
        <x:v>zh-localized-01</x:v>
      </x:c>
      <x:c r="L88" s="41" t="str">
        <x:v>business compliance; competition enforcement; consumer protection</x:v>
      </x:c>
      <x:c r="M88" s="41" t="str">
        <x:v>专题页 + 公开新闻/案件链接筛选</x:v>
      </x:c>
      <x:c r="N88" s="41" t="str">
        <x:v>V0—未确认 robots/条款/API</x:v>
      </x:c>
      <x:c r="O88" s="41" t="str">
        <x:v>候选-待核验</x:v>
      </x:c>
      <x:c r="P88" s="44"/>
      <x:c r="Q88" s="41" t="str">
        <x:v>仅作为场景素材入口；只抓取公开栏目与文章页，不采集评论、账号资料或其他个人信息。</x:v>
      </x:c>
      <x:c r="R88" s="41" t="str">
        <x:v>S15</x:v>
      </x:c>
      <x:c r="S88" s="41" t="str">
        <x:v>V0</x:v>
      </x:c>
      <x:c r="T88" s="41" t="str">
        <x:v>EV-15</x:v>
      </x:c>
      <x:c r="U88" s="41" t="str">
        <x:v>2026-08-26</x:v>
      </x:c>
      <x:c r="V88" s="41" t="str">
        <x:v>禁止：未取得与当前入口对应的程序化采集许可。</x:v>
      </x:c>
      <x:c r="W88" s="41" t="str"/>
      <x:c r="X88" s="41" t="str">
        <x:v>未确认可用于全文归档的程序化分发与字段范围。</x:v>
      </x:c>
    </x:row>
    <x:row r="89">
      <x:c r="A89" s="41" t="str">
        <x:v>A3-05-EN-01</x:v>
      </x:c>
      <x:c r="B89" s="41" t="str">
        <x:v>A3-05</x:v>
      </x:c>
      <x:c r="C89" s="41" t="str">
        <x:v>European Commission — Antitrust and Cartel Case Open Data</x:v>
      </x:c>
      <x:c r="D89" s="41" t="str">
        <x:v>https://data.europa.eu/data/datasets/18489cb7-bce7-4d44-a138-795b390d2109~~1?locale=en</x:v>
      </x:c>
      <x:c r="E89" s="41" t="str">
        <x:v>overseas</x:v>
      </x:c>
      <x:c r="F89" s="41" t="str">
        <x:v>en</x:v>
      </x:c>
      <x:c r="G89" s="41" t="str">
        <x:v>官方开放数据集</x:v>
      </x:c>
      <x:c r="H89" s="41" t="str">
        <x:v>商业违法违规</x:v>
      </x:c>
      <x:c r="I89" s="41" t="str">
        <x:v>其他商业违法违规行为</x:v>
      </x:c>
      <x:c r="J89" s="41" t="str">
        <x:v>en</x:v>
      </x:c>
      <x:c r="K89" s="41" t="str">
        <x:v>en-01</x:v>
      </x:c>
      <x:c r="L89" s="41" t="str">
        <x:v>business compliance; competition enforcement; consumer protection</x:v>
      </x:c>
      <x:c r="M89" s="41" t="str">
        <x:v>官方 JSON 分发 + 限定字段筛选（案件元数据）</x:v>
      </x:c>
      <x:c r="N89" s="41" t="str">
        <x:v>V3—官方开放数据集；仅 JSON 分发</x:v>
      </x:c>
      <x:c r="O89" s="41" t="str">
        <x:v>已启用-受限接口</x:v>
      </x:c>
      <x:c r="P89" s="44"/>
      <x:c r="Q89" s="41" t="str">
        <x:v>仅作为场景素材入口；只抓取公开栏目与文章页，不采集评论、账号资料或其他个人信息。</x:v>
      </x:c>
      <x:c r="R89" s="41" t="str">
        <x:v>S12</x:v>
      </x:c>
      <x:c r="S89" s="41" t="str">
        <x:v>V3</x:v>
      </x:c>
      <x:c r="T89" s="41" t="str">
        <x:v>EV-12, EV-17, EV-18</x:v>
      </x:c>
      <x:c r="U89" s="41" t="str">
        <x:v>2026-08-26</x:v>
      </x:c>
      <x:c r="V89" s="41" t="str">
        <x:v>允许：仅人工启动，且仅经官方 JSON 分发读取公共案件元数据。</x:v>
      </x:c>
      <x:c r="W89" s="41" t="str"/>
      <x:c r="X89" s="41" t="str">
        <x:v>仅案件公共元数据；不允许完整正文归档；待人工补录可复查的 JSON 分发 URL 后，才可按字段范围启用。</x:v>
      </x:c>
    </x:row>
    <x:row r="90">
      <x:c r="A90" s="41" t="str">
        <x:v>A4-01-ZH-NATIVE-01</x:v>
      </x:c>
      <x:c r="B90" s="41" t="str">
        <x:v>A4-01</x:v>
      </x:c>
      <x:c r="C90" s="41" t="str">
        <x:v>最高人民法院</x:v>
      </x:c>
      <x:c r="D90" s="41" t="str">
        <x:v>https://www.court.gov.cn/</x:v>
      </x:c>
      <x:c r="E90" s="41" t="str">
        <x:v>CN</x:v>
      </x:c>
      <x:c r="F90" s="41" t="str">
        <x:v>zh</x:v>
      </x:c>
      <x:c r="G90" s="41" t="str">
        <x:v>官方司法案例</x:v>
      </x:c>
      <x:c r="H90" s="41" t="str">
        <x:v>侵犯他人合法权益</x:v>
      </x:c>
      <x:c r="I90" s="41" t="str">
        <x:v>危害他人身心健康</x:v>
      </x:c>
      <x:c r="J90" s="41" t="str">
        <x:v>zh</x:v>
      </x:c>
      <x:c r="K90" s="41" t="str">
        <x:v>zh-native-01</x:v>
      </x:c>
      <x:c r="L90" s="41" t="str">
        <x:v>网络侵权；身心健康；网络暴力与权益保护</x:v>
      </x:c>
      <x:c r="M90" s="41" t="str">
        <x:v>案例/新闻栏目 + 站内检索</x:v>
      </x:c>
      <x:c r="N90" s="41" t="str">
        <x:v>V0—未确认 robots/条款/API</x:v>
      </x:c>
      <x:c r="O90" s="41" t="str">
        <x:v>候选-待核验</x:v>
      </x:c>
      <x:c r="P90" s="44"/>
      <x:c r="Q90" s="41" t="str">
        <x:v>仅作为场景素材入口；只抓取公开栏目与文章页，不采集评论、账号资料或其他个人信息。</x:v>
      </x:c>
      <x:c r="R90" s="41" t="str">
        <x:v>S07</x:v>
      </x:c>
      <x:c r="S90" s="41" t="str">
        <x:v>V0</x:v>
      </x:c>
      <x:c r="T90" s="41" t="str">
        <x:v>EV-07</x:v>
      </x:c>
      <x:c r="U90" s="41" t="str">
        <x:v>2026-08-26</x:v>
      </x:c>
      <x:c r="V90" s="41" t="str">
        <x:v>禁止：未取得与当前入口对应的程序化采集许可。</x:v>
      </x:c>
      <x:c r="W90" s="41" t="str"/>
      <x:c r="X90" s="41" t="str">
        <x:v>未确认可用于全文归档的程序化分发与字段范围。</x:v>
      </x:c>
    </x:row>
    <x:row r="91">
      <x:c r="A91" s="41" t="str">
        <x:v>A4-01-ZH-NATIVE-02</x:v>
      </x:c>
      <x:c r="B91" s="41" t="str">
        <x:v>A4-01</x:v>
      </x:c>
      <x:c r="C91" s="41" t="str">
        <x:v>违法和不良信息举报中心（12377）</x:v>
      </x:c>
      <x:c r="D91" s="41" t="str">
        <x:v>https://www.12377.cn/jsal/list1.html</x:v>
      </x:c>
      <x:c r="E91" s="41" t="str">
        <x:v>CN</x:v>
      </x:c>
      <x:c r="F91" s="41" t="str">
        <x:v>zh</x:v>
      </x:c>
      <x:c r="G91" s="41" t="str">
        <x:v>官方处置案例</x:v>
      </x:c>
      <x:c r="H91" s="41" t="str">
        <x:v>侵犯他人合法权益</x:v>
      </x:c>
      <x:c r="I91" s="41" t="str">
        <x:v>危害他人身心健康</x:v>
      </x:c>
      <x:c r="J91" s="41" t="str">
        <x:v>zh</x:v>
      </x:c>
      <x:c r="K91" s="41" t="str">
        <x:v>zh-native-02</x:v>
      </x:c>
      <x:c r="L91" s="41" t="str">
        <x:v>网络侵权；身心健康；网络暴力与权益保护</x:v>
      </x:c>
      <x:c r="M91" s="41" t="str">
        <x:v>栏目页分页 + 标题/正文主题词筛选</x:v>
      </x:c>
      <x:c r="N91" s="41" t="str">
        <x:v>V0—未确认 robots/条款/API</x:v>
      </x:c>
      <x:c r="O91" s="41" t="str">
        <x:v>候选-待核验</x:v>
      </x:c>
      <x:c r="P91" s="44"/>
      <x:c r="Q91" s="41" t="str">
        <x:v>仅作为场景素材入口；只抓取公开栏目与文章页，不采集评论、账号资料或其他个人信息。</x:v>
      </x:c>
      <x:c r="R91" s="41" t="str">
        <x:v>S01</x:v>
      </x:c>
      <x:c r="S91" s="41" t="str">
        <x:v>V0</x:v>
      </x:c>
      <x:c r="T91" s="41" t="str">
        <x:v>EV-01</x:v>
      </x:c>
      <x:c r="U91" s="41" t="str">
        <x:v>2026-08-26</x:v>
      </x:c>
      <x:c r="V91" s="41" t="str">
        <x:v>禁止：未取得与当前入口对应的程序化采集许可。</x:v>
      </x:c>
      <x:c r="W91" s="41" t="str"/>
      <x:c r="X91" s="41" t="str">
        <x:v>未确认可用于全文归档的程序化分发与字段范围。</x:v>
      </x:c>
    </x:row>
    <x:row r="92">
      <x:c r="A92" s="41" t="str">
        <x:v>A4-01-ZH-LOCALIZED-01</x:v>
      </x:c>
      <x:c r="B92" s="41" t="str">
        <x:v>A4-01</x:v>
      </x:c>
      <x:c r="C92" s="41" t="str">
        <x:v>UNESCO — Countering Hate Speech</x:v>
      </x:c>
      <x:c r="D92" s="41" t="str">
        <x:v>https://www.unesco.org/en/tags/countering-hate-speech</x:v>
      </x:c>
      <x:c r="E92" s="41" t="str">
        <x:v>overseas</x:v>
      </x:c>
      <x:c r="F92" s="41" t="str">
        <x:v>en</x:v>
      </x:c>
      <x:c r="G92" s="41" t="str">
        <x:v>国际组织专题</x:v>
      </x:c>
      <x:c r="H92" s="41" t="str">
        <x:v>侵犯他人合法权益</x:v>
      </x:c>
      <x:c r="I92" s="41" t="str">
        <x:v>危害他人身心健康</x:v>
      </x:c>
      <x:c r="J92" s="41" t="str">
        <x:v>zh</x:v>
      </x:c>
      <x:c r="K92" s="41" t="str">
        <x:v>zh-localized-01</x:v>
      </x:c>
      <x:c r="L92" s="41" t="str">
        <x:v>online harm; mental well-being; dignity and rights</x:v>
      </x:c>
      <x:c r="M92" s="41" t="str">
        <x:v>专题页 + 日期筛选 + 主题词筛选</x:v>
      </x:c>
      <x:c r="N92" s="41" t="str">
        <x:v>V0—未确认 robots/条款/API</x:v>
      </x:c>
      <x:c r="O92" s="41" t="str">
        <x:v>候选-待核验</x:v>
      </x:c>
      <x:c r="P92" s="44"/>
      <x:c r="Q92" s="41" t="str">
        <x:v>仅作为场景素材入口；只抓取公开栏目与文章页，不采集评论、账号资料或其他个人信息。</x:v>
      </x:c>
      <x:c r="R92" s="41" t="str">
        <x:v>S09</x:v>
      </x:c>
      <x:c r="S92" s="41" t="str">
        <x:v>V0</x:v>
      </x:c>
      <x:c r="T92" s="41" t="str">
        <x:v>EV-09</x:v>
      </x:c>
      <x:c r="U92" s="41" t="str">
        <x:v>2026-08-26</x:v>
      </x:c>
      <x:c r="V92" s="41" t="str">
        <x:v>禁止：未取得与当前入口对应的程序化采集许可。</x:v>
      </x:c>
      <x:c r="W92" s="41" t="str"/>
      <x:c r="X92" s="41" t="str">
        <x:v>未确认可用于全文归档的程序化分发与字段范围。</x:v>
      </x:c>
    </x:row>
    <x:row r="93">
      <x:c r="A93" s="41" t="str">
        <x:v>A4-01-EN-01</x:v>
      </x:c>
      <x:c r="B93" s="41" t="str">
        <x:v>A4-01</x:v>
      </x:c>
      <x:c r="C93" s="41" t="str">
        <x:v>UNESCO — Countering Hate Speech</x:v>
      </x:c>
      <x:c r="D93" s="41" t="str">
        <x:v>https://www.unesco.org/en/tags/countering-hate-speech</x:v>
      </x:c>
      <x:c r="E93" s="41" t="str">
        <x:v>overseas</x:v>
      </x:c>
      <x:c r="F93" s="41" t="str">
        <x:v>en</x:v>
      </x:c>
      <x:c r="G93" s="41" t="str">
        <x:v>国际组织专题</x:v>
      </x:c>
      <x:c r="H93" s="41" t="str">
        <x:v>侵犯他人合法权益</x:v>
      </x:c>
      <x:c r="I93" s="41" t="str">
        <x:v>危害他人身心健康</x:v>
      </x:c>
      <x:c r="J93" s="41" t="str">
        <x:v>en</x:v>
      </x:c>
      <x:c r="K93" s="41" t="str">
        <x:v>en-01</x:v>
      </x:c>
      <x:c r="L93" s="41" t="str">
        <x:v>online harm; mental well-being; dignity and rights</x:v>
      </x:c>
      <x:c r="M93" s="41" t="str">
        <x:v>专题页 + 日期筛选 + 主题词筛选</x:v>
      </x:c>
      <x:c r="N93" s="41" t="str">
        <x:v>V0—未确认 robots/条款/API</x:v>
      </x:c>
      <x:c r="O93" s="41" t="str">
        <x:v>候选-待核验</x:v>
      </x:c>
      <x:c r="P93" s="44"/>
      <x:c r="Q93" s="41" t="str">
        <x:v>仅作为场景素材入口；只抓取公开栏目与文章页，不采集评论、账号资料或其他个人信息。</x:v>
      </x:c>
      <x:c r="R93" s="41" t="str">
        <x:v>S09</x:v>
      </x:c>
      <x:c r="S93" s="41" t="str">
        <x:v>V0</x:v>
      </x:c>
      <x:c r="T93" s="41" t="str">
        <x:v>EV-09</x:v>
      </x:c>
      <x:c r="U93" s="41" t="str">
        <x:v>2026-08-26</x:v>
      </x:c>
      <x:c r="V93" s="41" t="str">
        <x:v>禁止：未取得与当前入口对应的程序化采集许可。</x:v>
      </x:c>
      <x:c r="W93" s="41" t="str"/>
      <x:c r="X93" s="41" t="str">
        <x:v>未确认可用于全文归档的程序化分发与字段范围。</x:v>
      </x:c>
    </x:row>
    <x:row r="94">
      <x:c r="A94" s="41" t="str">
        <x:v>A4-02-ZH-NATIVE-01</x:v>
      </x:c>
      <x:c r="B94" s="41" t="str">
        <x:v>A4-02</x:v>
      </x:c>
      <x:c r="C94" s="41" t="str">
        <x:v>最高人民法院</x:v>
      </x:c>
      <x:c r="D94" s="41" t="str">
        <x:v>https://www.court.gov.cn/</x:v>
      </x:c>
      <x:c r="E94" s="41" t="str">
        <x:v>CN</x:v>
      </x:c>
      <x:c r="F94" s="41" t="str">
        <x:v>zh</x:v>
      </x:c>
      <x:c r="G94" s="41" t="str">
        <x:v>官方司法案例</x:v>
      </x:c>
      <x:c r="H94" s="41" t="str">
        <x:v>侵犯他人合法权益</x:v>
      </x:c>
      <x:c r="I94" s="41" t="str">
        <x:v>侵害他人肖像权</x:v>
      </x:c>
      <x:c r="J94" s="41" t="str">
        <x:v>zh</x:v>
      </x:c>
      <x:c r="K94" s="41" t="str">
        <x:v>zh-native-01</x:v>
      </x:c>
      <x:c r="L94" s="41" t="str">
        <x:v>肖像使用；AI换脸；授权同意；人格权益</x:v>
      </x:c>
      <x:c r="M94" s="41" t="str">
        <x:v>案例/新闻栏目 + 站内检索</x:v>
      </x:c>
      <x:c r="N94" s="41" t="str">
        <x:v>V0—未确认 robots/条款/API</x:v>
      </x:c>
      <x:c r="O94" s="41" t="str">
        <x:v>候选-待核验</x:v>
      </x:c>
      <x:c r="P94" s="44"/>
      <x:c r="Q94" s="41" t="str">
        <x:v>仅作为场景素材入口；只抓取公开栏目与文章页，不采集评论、账号资料或其他个人信息。</x:v>
      </x:c>
      <x:c r="R94" s="41" t="str">
        <x:v>S07</x:v>
      </x:c>
      <x:c r="S94" s="41" t="str">
        <x:v>V0</x:v>
      </x:c>
      <x:c r="T94" s="41" t="str">
        <x:v>EV-07</x:v>
      </x:c>
      <x:c r="U94" s="41" t="str">
        <x:v>2026-08-26</x:v>
      </x:c>
      <x:c r="V94" s="41" t="str">
        <x:v>禁止：未取得与当前入口对应的程序化采集许可。</x:v>
      </x:c>
      <x:c r="W94" s="41" t="str"/>
      <x:c r="X94" s="41" t="str">
        <x:v>未确认可用于全文归档的程序化分发与字段范围。</x:v>
      </x:c>
    </x:row>
    <x:row r="95">
      <x:c r="A95" s="41" t="str">
        <x:v>A4-02-ZH-NATIVE-02</x:v>
      </x:c>
      <x:c r="B95" s="41" t="str">
        <x:v>A4-02</x:v>
      </x:c>
      <x:c r="C95" s="41" t="str">
        <x:v>违法和不良信息举报中心（12377）</x:v>
      </x:c>
      <x:c r="D95" s="41" t="str">
        <x:v>https://www.12377.cn/jsal/list1.html</x:v>
      </x:c>
      <x:c r="E95" s="41" t="str">
        <x:v>CN</x:v>
      </x:c>
      <x:c r="F95" s="41" t="str">
        <x:v>zh</x:v>
      </x:c>
      <x:c r="G95" s="41" t="str">
        <x:v>官方处置案例</x:v>
      </x:c>
      <x:c r="H95" s="41" t="str">
        <x:v>侵犯他人合法权益</x:v>
      </x:c>
      <x:c r="I95" s="41" t="str">
        <x:v>侵害他人肖像权</x:v>
      </x:c>
      <x:c r="J95" s="41" t="str">
        <x:v>zh</x:v>
      </x:c>
      <x:c r="K95" s="41" t="str">
        <x:v>zh-native-02</x:v>
      </x:c>
      <x:c r="L95" s="41" t="str">
        <x:v>肖像使用；AI换脸；授权同意；人格权益</x:v>
      </x:c>
      <x:c r="M95" s="41" t="str">
        <x:v>栏目页分页 + 标题/正文主题词筛选</x:v>
      </x:c>
      <x:c r="N95" s="41" t="str">
        <x:v>V0—未确认 robots/条款/API</x:v>
      </x:c>
      <x:c r="O95" s="41" t="str">
        <x:v>候选-待核验</x:v>
      </x:c>
      <x:c r="P95" s="44"/>
      <x:c r="Q95" s="41" t="str">
        <x:v>仅作为场景素材入口；只抓取公开栏目与文章页，不采集评论、账号资料或其他个人信息。</x:v>
      </x:c>
      <x:c r="R95" s="41" t="str">
        <x:v>S01</x:v>
      </x:c>
      <x:c r="S95" s="41" t="str">
        <x:v>V0</x:v>
      </x:c>
      <x:c r="T95" s="41" t="str">
        <x:v>EV-01</x:v>
      </x:c>
      <x:c r="U95" s="41" t="str">
        <x:v>2026-08-26</x:v>
      </x:c>
      <x:c r="V95" s="41" t="str">
        <x:v>禁止：未取得与当前入口对应的程序化采集许可。</x:v>
      </x:c>
      <x:c r="W95" s="41" t="str"/>
      <x:c r="X95" s="41" t="str">
        <x:v>未确认可用于全文归档的程序化分发与字段范围。</x:v>
      </x:c>
    </x:row>
    <x:row r="96">
      <x:c r="A96" s="41" t="str">
        <x:v>A4-02-ZH-LOCALIZED-01</x:v>
      </x:c>
      <x:c r="B96" s="41" t="str">
        <x:v>A4-02</x:v>
      </x:c>
      <x:c r="C96" s="41" t="str">
        <x:v>UK ICO — Action we've taken</x:v>
      </x:c>
      <x:c r="D96" s="41" t="str">
        <x:v>https://ico.org.uk/action-weve-taken/</x:v>
      </x:c>
      <x:c r="E96" s="41" t="str">
        <x:v>overseas</x:v>
      </x:c>
      <x:c r="F96" s="41" t="str">
        <x:v>en</x:v>
      </x:c>
      <x:c r="G96" s="41" t="str">
        <x:v>监管执法案例</x:v>
      </x:c>
      <x:c r="H96" s="41" t="str">
        <x:v>侵犯他人合法权益</x:v>
      </x:c>
      <x:c r="I96" s="41" t="str">
        <x:v>侵害他人肖像权</x:v>
      </x:c>
      <x:c r="J96" s="41" t="str">
        <x:v>zh</x:v>
      </x:c>
      <x:c r="K96" s="41" t="str">
        <x:v>zh-localized-01</x:v>
      </x:c>
      <x:c r="L96" s="41" t="str">
        <x:v>image/likeness use; consent; privacy and data rights</x:v>
      </x:c>
      <x:c r="M96" s="41" t="str">
        <x:v>执法行动页 + 分类/日期筛选</x:v>
      </x:c>
      <x:c r="N96" s="41" t="str">
        <x:v>V0—未确认 robots/条款/API</x:v>
      </x:c>
      <x:c r="O96" s="41" t="str">
        <x:v>候选-待核验</x:v>
      </x:c>
      <x:c r="P96" s="44"/>
      <x:c r="Q96" s="41" t="str">
        <x:v>仅作为场景素材入口；只抓取公开栏目与文章页，不采集评论、账号资料或其他个人信息。</x:v>
      </x:c>
      <x:c r="R96" s="41" t="str">
        <x:v>S14</x:v>
      </x:c>
      <x:c r="S96" s="41" t="str">
        <x:v>V0</x:v>
      </x:c>
      <x:c r="T96" s="41" t="str">
        <x:v>EV-14</x:v>
      </x:c>
      <x:c r="U96" s="41" t="str">
        <x:v>2026-08-26</x:v>
      </x:c>
      <x:c r="V96" s="41" t="str">
        <x:v>禁止：未取得与当前入口对应的程序化采集许可。</x:v>
      </x:c>
      <x:c r="W96" s="41" t="str"/>
      <x:c r="X96" s="41" t="str">
        <x:v>未确认可用于全文归档的程序化分发与字段范围。</x:v>
      </x:c>
    </x:row>
    <x:row r="97">
      <x:c r="A97" s="41" t="str">
        <x:v>A4-02-EN-01</x:v>
      </x:c>
      <x:c r="B97" s="41" t="str">
        <x:v>A4-02</x:v>
      </x:c>
      <x:c r="C97" s="41" t="str">
        <x:v>U.S. FTC — Privacy and Security Enforcement</x:v>
      </x:c>
      <x:c r="D97" s="41" t="str">
        <x:v>https://www.ftc.gov/news-events/topics/protecting-consumer-privacy-security/privacy-security-enforcement</x:v>
      </x:c>
      <x:c r="E97" s="41" t="str">
        <x:v>overseas</x:v>
      </x:c>
      <x:c r="F97" s="41" t="str">
        <x:v>en</x:v>
      </x:c>
      <x:c r="G97" s="41" t="str">
        <x:v>监管执法案例</x:v>
      </x:c>
      <x:c r="H97" s="41" t="str">
        <x:v>侵犯他人合法权益</x:v>
      </x:c>
      <x:c r="I97" s="41" t="str">
        <x:v>侵害他人肖像权</x:v>
      </x:c>
      <x:c r="J97" s="41" t="str">
        <x:v>en</x:v>
      </x:c>
      <x:c r="K97" s="41" t="str">
        <x:v>en-01</x:v>
      </x:c>
      <x:c r="L97" s="41" t="str">
        <x:v>image/likeness use; consent; privacy and data rights</x:v>
      </x:c>
      <x:c r="M97" s="41" t="str">
        <x:v>执法案例列表 + 日期筛选</x:v>
      </x:c>
      <x:c r="N97" s="41" t="str">
        <x:v>V0—未确认 robots/条款/API</x:v>
      </x:c>
      <x:c r="O97" s="41" t="str">
        <x:v>候选-待核验</x:v>
      </x:c>
      <x:c r="P97" s="44"/>
      <x:c r="Q97" s="41" t="str">
        <x:v>仅作为场景素材入口；只抓取公开栏目与文章页，不采集评论、账号资料或其他个人信息。</x:v>
      </x:c>
      <x:c r="R97" s="41" t="str">
        <x:v>S10</x:v>
      </x:c>
      <x:c r="S97" s="41" t="str">
        <x:v>V0</x:v>
      </x:c>
      <x:c r="T97" s="41" t="str">
        <x:v>EV-10</x:v>
      </x:c>
      <x:c r="U97" s="41" t="str">
        <x:v>2026-08-26</x:v>
      </x:c>
      <x:c r="V97" s="41" t="str">
        <x:v>禁止：未取得与当前入口对应的程序化采集许可。</x:v>
      </x:c>
      <x:c r="W97" s="41" t="str"/>
      <x:c r="X97" s="41" t="str">
        <x:v>未确认可用于全文归档的程序化分发与字段范围。</x:v>
      </x:c>
    </x:row>
    <x:row r="98">
      <x:c r="A98" s="41" t="str">
        <x:v>A4-03-ZH-NATIVE-01</x:v>
      </x:c>
      <x:c r="B98" s="41" t="str">
        <x:v>A4-03</x:v>
      </x:c>
      <x:c r="C98" s="41" t="str">
        <x:v>最高人民法院</x:v>
      </x:c>
      <x:c r="D98" s="41" t="str">
        <x:v>https://www.court.gov.cn/</x:v>
      </x:c>
      <x:c r="E98" s="41" t="str">
        <x:v>CN</x:v>
      </x:c>
      <x:c r="F98" s="41" t="str">
        <x:v>zh</x:v>
      </x:c>
      <x:c r="G98" s="41" t="str">
        <x:v>官方司法案例</x:v>
      </x:c>
      <x:c r="H98" s="41" t="str">
        <x:v>侵犯他人合法权益</x:v>
      </x:c>
      <x:c r="I98" s="41" t="str">
        <x:v>侵害他人名誉权</x:v>
      </x:c>
      <x:c r="J98" s="41" t="str">
        <x:v>zh</x:v>
      </x:c>
      <x:c r="K98" s="41" t="str">
        <x:v>zh-native-01</x:v>
      </x:c>
      <x:c r="L98" s="41" t="str">
        <x:v>不实信息；网络暴力；名誉权；公开案例</x:v>
      </x:c>
      <x:c r="M98" s="41" t="str">
        <x:v>案例/新闻栏目 + 站内检索</x:v>
      </x:c>
      <x:c r="N98" s="41" t="str">
        <x:v>V0—未确认 robots/条款/API</x:v>
      </x:c>
      <x:c r="O98" s="41" t="str">
        <x:v>候选-待核验</x:v>
      </x:c>
      <x:c r="P98" s="44"/>
      <x:c r="Q98" s="41" t="str">
        <x:v>仅作为场景素材入口；只抓取公开栏目与文章页，不采集评论、账号资料或其他个人信息。</x:v>
      </x:c>
      <x:c r="R98" s="41" t="str">
        <x:v>S07</x:v>
      </x:c>
      <x:c r="S98" s="41" t="str">
        <x:v>V0</x:v>
      </x:c>
      <x:c r="T98" s="41" t="str">
        <x:v>EV-07</x:v>
      </x:c>
      <x:c r="U98" s="41" t="str">
        <x:v>2026-08-26</x:v>
      </x:c>
      <x:c r="V98" s="41" t="str">
        <x:v>禁止：未取得与当前入口对应的程序化采集许可。</x:v>
      </x:c>
      <x:c r="W98" s="41" t="str"/>
      <x:c r="X98" s="41" t="str">
        <x:v>未确认可用于全文归档的程序化分发与字段范围。</x:v>
      </x:c>
    </x:row>
    <x:row r="99">
      <x:c r="A99" s="41" t="str">
        <x:v>A4-03-ZH-NATIVE-02</x:v>
      </x:c>
      <x:c r="B99" s="41" t="str">
        <x:v>A4-03</x:v>
      </x:c>
      <x:c r="C99" s="41" t="str">
        <x:v>违法和不良信息举报中心（12377）</x:v>
      </x:c>
      <x:c r="D99" s="41" t="str">
        <x:v>https://www.12377.cn/jsal/list1.html</x:v>
      </x:c>
      <x:c r="E99" s="41" t="str">
        <x:v>CN</x:v>
      </x:c>
      <x:c r="F99" s="41" t="str">
        <x:v>zh</x:v>
      </x:c>
      <x:c r="G99" s="41" t="str">
        <x:v>官方处置案例</x:v>
      </x:c>
      <x:c r="H99" s="41" t="str">
        <x:v>侵犯他人合法权益</x:v>
      </x:c>
      <x:c r="I99" s="41" t="str">
        <x:v>侵害他人名誉权</x:v>
      </x:c>
      <x:c r="J99" s="41" t="str">
        <x:v>zh</x:v>
      </x:c>
      <x:c r="K99" s="41" t="str">
        <x:v>zh-native-02</x:v>
      </x:c>
      <x:c r="L99" s="41" t="str">
        <x:v>不实信息；网络暴力；名誉权；公开案例</x:v>
      </x:c>
      <x:c r="M99" s="41" t="str">
        <x:v>栏目页分页 + 标题/正文主题词筛选</x:v>
      </x:c>
      <x:c r="N99" s="41" t="str">
        <x:v>V0—未确认 robots/条款/API</x:v>
      </x:c>
      <x:c r="O99" s="41" t="str">
        <x:v>候选-待核验</x:v>
      </x:c>
      <x:c r="P99" s="44"/>
      <x:c r="Q99" s="41" t="str">
        <x:v>仅作为场景素材入口；只抓取公开栏目与文章页，不采集评论、账号资料或其他个人信息。</x:v>
      </x:c>
      <x:c r="R99" s="41" t="str">
        <x:v>S01</x:v>
      </x:c>
      <x:c r="S99" s="41" t="str">
        <x:v>V0</x:v>
      </x:c>
      <x:c r="T99" s="41" t="str">
        <x:v>EV-01</x:v>
      </x:c>
      <x:c r="U99" s="41" t="str">
        <x:v>2026-08-26</x:v>
      </x:c>
      <x:c r="V99" s="41" t="str">
        <x:v>禁止：未取得与当前入口对应的程序化采集许可。</x:v>
      </x:c>
      <x:c r="W99" s="41" t="str"/>
      <x:c r="X99" s="41" t="str">
        <x:v>未确认可用于全文归档的程序化分发与字段范围。</x:v>
      </x:c>
    </x:row>
    <x:row r="100">
      <x:c r="A100" s="41" t="str">
        <x:v>A4-03-ZH-LOCALIZED-01</x:v>
      </x:c>
      <x:c r="B100" s="41" t="str">
        <x:v>A4-03</x:v>
      </x:c>
      <x:c r="C100" s="41" t="str">
        <x:v>UK ICO — Action we've taken</x:v>
      </x:c>
      <x:c r="D100" s="41" t="str">
        <x:v>https://ico.org.uk/action-weve-taken/</x:v>
      </x:c>
      <x:c r="E100" s="41" t="str">
        <x:v>overseas</x:v>
      </x:c>
      <x:c r="F100" s="41" t="str">
        <x:v>en</x:v>
      </x:c>
      <x:c r="G100" s="41" t="str">
        <x:v>监管执法案例</x:v>
      </x:c>
      <x:c r="H100" s="41" t="str">
        <x:v>侵犯他人合法权益</x:v>
      </x:c>
      <x:c r="I100" s="41" t="str">
        <x:v>侵害他人名誉权</x:v>
      </x:c>
      <x:c r="J100" s="41" t="str">
        <x:v>zh</x:v>
      </x:c>
      <x:c r="K100" s="41" t="str">
        <x:v>zh-localized-01</x:v>
      </x:c>
      <x:c r="L100" s="41" t="str">
        <x:v>reputation; defamation; online harm and rights</x:v>
      </x:c>
      <x:c r="M100" s="41" t="str">
        <x:v>执法行动页 + 分类/日期筛选</x:v>
      </x:c>
      <x:c r="N100" s="41" t="str">
        <x:v>V0—未确认 robots/条款/API</x:v>
      </x:c>
      <x:c r="O100" s="41" t="str">
        <x:v>候选-待核验</x:v>
      </x:c>
      <x:c r="P100" s="44"/>
      <x:c r="Q100" s="41" t="str">
        <x:v>仅作为场景素材入口；只抓取公开栏目与文章页，不采集评论、账号资料或其他个人信息。</x:v>
      </x:c>
      <x:c r="R100" s="41" t="str">
        <x:v>S14</x:v>
      </x:c>
      <x:c r="S100" s="41" t="str">
        <x:v>V0</x:v>
      </x:c>
      <x:c r="T100" s="41" t="str">
        <x:v>EV-14</x:v>
      </x:c>
      <x:c r="U100" s="41" t="str">
        <x:v>2026-08-26</x:v>
      </x:c>
      <x:c r="V100" s="41" t="str">
        <x:v>禁止：未取得与当前入口对应的程序化采集许可。</x:v>
      </x:c>
      <x:c r="W100" s="41" t="str"/>
      <x:c r="X100" s="41" t="str">
        <x:v>未确认可用于全文归档的程序化分发与字段范围。</x:v>
      </x:c>
    </x:row>
    <x:row r="101">
      <x:c r="A101" s="41" t="str">
        <x:v>A4-03-EN-01</x:v>
      </x:c>
      <x:c r="B101" s="41" t="str">
        <x:v>A4-03</x:v>
      </x:c>
      <x:c r="C101" s="41" t="str">
        <x:v>U.S. FTC — Privacy and Security Enforcement</x:v>
      </x:c>
      <x:c r="D101" s="41" t="str">
        <x:v>https://www.ftc.gov/news-events/topics/protecting-consumer-privacy-security/privacy-security-enforcement</x:v>
      </x:c>
      <x:c r="E101" s="41" t="str">
        <x:v>overseas</x:v>
      </x:c>
      <x:c r="F101" s="41" t="str">
        <x:v>en</x:v>
      </x:c>
      <x:c r="G101" s="41" t="str">
        <x:v>监管执法案例</x:v>
      </x:c>
      <x:c r="H101" s="41" t="str">
        <x:v>侵犯他人合法权益</x:v>
      </x:c>
      <x:c r="I101" s="41" t="str">
        <x:v>侵害他人名誉权</x:v>
      </x:c>
      <x:c r="J101" s="41" t="str">
        <x:v>en</x:v>
      </x:c>
      <x:c r="K101" s="41" t="str">
        <x:v>en-01</x:v>
      </x:c>
      <x:c r="L101" s="41" t="str">
        <x:v>reputation; defamation; online harm and rights</x:v>
      </x:c>
      <x:c r="M101" s="41" t="str">
        <x:v>执法案例列表 + 日期筛选</x:v>
      </x:c>
      <x:c r="N101" s="41" t="str">
        <x:v>V0—未确认 robots/条款/API</x:v>
      </x:c>
      <x:c r="O101" s="41" t="str">
        <x:v>候选-待核验</x:v>
      </x:c>
      <x:c r="P101" s="44"/>
      <x:c r="Q101" s="41" t="str">
        <x:v>仅作为场景素材入口；只抓取公开栏目与文章页，不采集评论、账号资料或其他个人信息。</x:v>
      </x:c>
      <x:c r="R101" s="41" t="str">
        <x:v>S10</x:v>
      </x:c>
      <x:c r="S101" s="41" t="str">
        <x:v>V0</x:v>
      </x:c>
      <x:c r="T101" s="41" t="str">
        <x:v>EV-10</x:v>
      </x:c>
      <x:c r="U101" s="41" t="str">
        <x:v>2026-08-26</x:v>
      </x:c>
      <x:c r="V101" s="41" t="str">
        <x:v>禁止：未取得与当前入口对应的程序化采集许可。</x:v>
      </x:c>
      <x:c r="W101" s="41" t="str"/>
      <x:c r="X101" s="41" t="str">
        <x:v>未确认可用于全文归档的程序化分发与字段范围。</x:v>
      </x:c>
    </x:row>
    <x:row r="102">
      <x:c r="A102" s="41" t="str">
        <x:v>A4-04-ZH-NATIVE-01</x:v>
      </x:c>
      <x:c r="B102" s="41" t="str">
        <x:v>A4-04</x:v>
      </x:c>
      <x:c r="C102" s="41" t="str">
        <x:v>最高人民法院</x:v>
      </x:c>
      <x:c r="D102" s="41" t="str">
        <x:v>https://www.court.gov.cn/</x:v>
      </x:c>
      <x:c r="E102" s="41" t="str">
        <x:v>CN</x:v>
      </x:c>
      <x:c r="F102" s="41" t="str">
        <x:v>zh</x:v>
      </x:c>
      <x:c r="G102" s="41" t="str">
        <x:v>官方司法案例</x:v>
      </x:c>
      <x:c r="H102" s="41" t="str">
        <x:v>侵犯他人合法权益</x:v>
      </x:c>
      <x:c r="I102" s="41" t="str">
        <x:v>侵害他人荣誉权</x:v>
      </x:c>
      <x:c r="J102" s="41" t="str">
        <x:v>zh</x:v>
      </x:c>
      <x:c r="K102" s="41" t="str">
        <x:v>zh-native-01</x:v>
      </x:c>
      <x:c r="L102" s="41" t="str">
        <x:v>姓名、肖像、名誉、荣誉保护；公开案例</x:v>
      </x:c>
      <x:c r="M102" s="41" t="str">
        <x:v>案例/新闻栏目 + 站内检索</x:v>
      </x:c>
      <x:c r="N102" s="41" t="str">
        <x:v>V0—未确认 robots/条款/API</x:v>
      </x:c>
      <x:c r="O102" s="41" t="str">
        <x:v>候选-待核验</x:v>
      </x:c>
      <x:c r="P102" s="44"/>
      <x:c r="Q102" s="41" t="str">
        <x:v>仅作为场景素材入口；只抓取公开栏目与文章页，不采集评论、账号资料或其他个人信息。</x:v>
      </x:c>
      <x:c r="R102" s="41" t="str">
        <x:v>S07</x:v>
      </x:c>
      <x:c r="S102" s="41" t="str">
        <x:v>V0</x:v>
      </x:c>
      <x:c r="T102" s="41" t="str">
        <x:v>EV-07</x:v>
      </x:c>
      <x:c r="U102" s="41" t="str">
        <x:v>2026-08-26</x:v>
      </x:c>
      <x:c r="V102" s="41" t="str">
        <x:v>禁止：未取得与当前入口对应的程序化采集许可。</x:v>
      </x:c>
      <x:c r="W102" s="41" t="str"/>
      <x:c r="X102" s="41" t="str">
        <x:v>未确认可用于全文归档的程序化分发与字段范围。</x:v>
      </x:c>
    </x:row>
    <x:row r="103">
      <x:c r="A103" s="41" t="str">
        <x:v>A4-04-ZH-NATIVE-02</x:v>
      </x:c>
      <x:c r="B103" s="41" t="str">
        <x:v>A4-04</x:v>
      </x:c>
      <x:c r="C103" s="41" t="str">
        <x:v>国家互联网信息办公室</x:v>
      </x:c>
      <x:c r="D103" s="41" t="str">
        <x:v>https://www.cac.gov.cn/</x:v>
      </x:c>
      <x:c r="E103" s="41" t="str">
        <x:v>CN</x:v>
      </x:c>
      <x:c r="F103" s="41" t="str">
        <x:v>zh</x:v>
      </x:c>
      <x:c r="G103" s="41" t="str">
        <x:v>主管部门资讯</x:v>
      </x:c>
      <x:c r="H103" s="41" t="str">
        <x:v>侵犯他人合法权益</x:v>
      </x:c>
      <x:c r="I103" s="41" t="str">
        <x:v>侵害他人荣誉权</x:v>
      </x:c>
      <x:c r="J103" s="41" t="str">
        <x:v>zh</x:v>
      </x:c>
      <x:c r="K103" s="41" t="str">
        <x:v>zh-native-02</x:v>
      </x:c>
      <x:c r="L103" s="41" t="str">
        <x:v>姓名、肖像、名誉、荣誉保护；公开案例</x:v>
      </x:c>
      <x:c r="M103" s="41" t="str">
        <x:v>专题/公开通报栏目 + 站内检索</x:v>
      </x:c>
      <x:c r="N103" s="41" t="str">
        <x:v>V0—未确认 robots/条款/API</x:v>
      </x:c>
      <x:c r="O103" s="41" t="str">
        <x:v>候选-待核验</x:v>
      </x:c>
      <x:c r="P103" s="44"/>
      <x:c r="Q103" s="41" t="str">
        <x:v>仅作为场景素材入口；只抓取公开栏目与文章页，不采集评论、账号资料或其他个人信息。</x:v>
      </x:c>
      <x:c r="R103" s="41" t="str">
        <x:v>S03</x:v>
      </x:c>
      <x:c r="S103" s="41" t="str">
        <x:v>V0</x:v>
      </x:c>
      <x:c r="T103" s="41" t="str">
        <x:v>EV-03, EV-16</x:v>
      </x:c>
      <x:c r="U103" s="41" t="str">
        <x:v>2026-08-26</x:v>
      </x:c>
      <x:c r="V103" s="41" t="str">
        <x:v>禁止：未取得与当前入口对应的程序化采集许可。</x:v>
      </x:c>
      <x:c r="W103" s="41" t="str"/>
      <x:c r="X103" s="41" t="str">
        <x:v>未确认可用于全文归档的程序化分发与字段范围。</x:v>
      </x:c>
    </x:row>
    <x:row r="104">
      <x:c r="A104" s="41" t="str">
        <x:v>A4-04-ZH-LOCALIZED-01</x:v>
      </x:c>
      <x:c r="B104" s="41" t="str">
        <x:v>A4-04</x:v>
      </x:c>
      <x:c r="C104" s="41" t="str">
        <x:v>UNESCO — Countering Hate Speech</x:v>
      </x:c>
      <x:c r="D104" s="41" t="str">
        <x:v>https://www.unesco.org/en/tags/countering-hate-speech</x:v>
      </x:c>
      <x:c r="E104" s="41" t="str">
        <x:v>overseas</x:v>
      </x:c>
      <x:c r="F104" s="41" t="str">
        <x:v>en</x:v>
      </x:c>
      <x:c r="G104" s="41" t="str">
        <x:v>国际组织专题</x:v>
      </x:c>
      <x:c r="H104" s="41" t="str">
        <x:v>侵犯他人合法权益</x:v>
      </x:c>
      <x:c r="I104" s="41" t="str">
        <x:v>侵害他人荣誉权</x:v>
      </x:c>
      <x:c r="J104" s="41" t="str">
        <x:v>zh</x:v>
      </x:c>
      <x:c r="K104" s="41" t="str">
        <x:v>zh-localized-01</x:v>
      </x:c>
      <x:c r="L104" s="41" t="str">
        <x:v>honour and dignity; identity-related rights; public interest</x:v>
      </x:c>
      <x:c r="M104" s="41" t="str">
        <x:v>专题页 + 日期筛选 + 主题词筛选</x:v>
      </x:c>
      <x:c r="N104" s="41" t="str">
        <x:v>V0—未确认 robots/条款/API</x:v>
      </x:c>
      <x:c r="O104" s="41" t="str">
        <x:v>候选-待核验</x:v>
      </x:c>
      <x:c r="P104" s="44"/>
      <x:c r="Q104" s="41" t="str">
        <x:v>仅作为场景素材入口；只抓取公开栏目与文章页，不采集评论、账号资料或其他个人信息。</x:v>
      </x:c>
      <x:c r="R104" s="41" t="str">
        <x:v>S09</x:v>
      </x:c>
      <x:c r="S104" s="41" t="str">
        <x:v>V0</x:v>
      </x:c>
      <x:c r="T104" s="41" t="str">
        <x:v>EV-09</x:v>
      </x:c>
      <x:c r="U104" s="41" t="str">
        <x:v>2026-08-26</x:v>
      </x:c>
      <x:c r="V104" s="41" t="str">
        <x:v>禁止：未取得与当前入口对应的程序化采集许可。</x:v>
      </x:c>
      <x:c r="W104" s="41" t="str"/>
      <x:c r="X104" s="41" t="str">
        <x:v>未确认可用于全文归档的程序化分发与字段范围。</x:v>
      </x:c>
    </x:row>
    <x:row r="105">
      <x:c r="A105" s="41" t="str">
        <x:v>A4-04-EN-01</x:v>
      </x:c>
      <x:c r="B105" s="41" t="str">
        <x:v>A4-04</x:v>
      </x:c>
      <x:c r="C105" s="41" t="str">
        <x:v>UNESCO — Countering Hate Speech</x:v>
      </x:c>
      <x:c r="D105" s="41" t="str">
        <x:v>https://www.unesco.org/en/tags/countering-hate-speech</x:v>
      </x:c>
      <x:c r="E105" s="41" t="str">
        <x:v>overseas</x:v>
      </x:c>
      <x:c r="F105" s="41" t="str">
        <x:v>en</x:v>
      </x:c>
      <x:c r="G105" s="41" t="str">
        <x:v>国际组织专题</x:v>
      </x:c>
      <x:c r="H105" s="41" t="str">
        <x:v>侵犯他人合法权益</x:v>
      </x:c>
      <x:c r="I105" s="41" t="str">
        <x:v>侵害他人荣誉权</x:v>
      </x:c>
      <x:c r="J105" s="41" t="str">
        <x:v>en</x:v>
      </x:c>
      <x:c r="K105" s="41" t="str">
        <x:v>en-01</x:v>
      </x:c>
      <x:c r="L105" s="41" t="str">
        <x:v>honour and dignity; identity-related rights; public interest</x:v>
      </x:c>
      <x:c r="M105" s="41" t="str">
        <x:v>专题页 + 日期筛选 + 主题词筛选</x:v>
      </x:c>
      <x:c r="N105" s="41" t="str">
        <x:v>V0—未确认 robots/条款/API</x:v>
      </x:c>
      <x:c r="O105" s="41" t="str">
        <x:v>候选-待核验</x:v>
      </x:c>
      <x:c r="P105" s="44"/>
      <x:c r="Q105" s="41" t="str">
        <x:v>仅作为场景素材入口；只抓取公开栏目与文章页，不采集评论、账号资料或其他个人信息。</x:v>
      </x:c>
      <x:c r="R105" s="41" t="str">
        <x:v>S09</x:v>
      </x:c>
      <x:c r="S105" s="41" t="str">
        <x:v>V0</x:v>
      </x:c>
      <x:c r="T105" s="41" t="str">
        <x:v>EV-09</x:v>
      </x:c>
      <x:c r="U105" s="41" t="str">
        <x:v>2026-08-26</x:v>
      </x:c>
      <x:c r="V105" s="41" t="str">
        <x:v>禁止：未取得与当前入口对应的程序化采集许可。</x:v>
      </x:c>
      <x:c r="W105" s="41" t="str"/>
      <x:c r="X105" s="41" t="str">
        <x:v>未确认可用于全文归档的程序化分发与字段范围。</x:v>
      </x:c>
    </x:row>
    <x:row r="106">
      <x:c r="A106" s="41" t="str">
        <x:v>A4-05-ZH-NATIVE-01</x:v>
      </x:c>
      <x:c r="B106" s="41" t="str">
        <x:v>A4-05</x:v>
      </x:c>
      <x:c r="C106" s="41" t="str">
        <x:v>最高人民法院</x:v>
      </x:c>
      <x:c r="D106" s="41" t="str">
        <x:v>https://www.court.gov.cn/</x:v>
      </x:c>
      <x:c r="E106" s="41" t="str">
        <x:v>CN</x:v>
      </x:c>
      <x:c r="F106" s="41" t="str">
        <x:v>zh</x:v>
      </x:c>
      <x:c r="G106" s="41" t="str">
        <x:v>官方司法案例</x:v>
      </x:c>
      <x:c r="H106" s="41" t="str">
        <x:v>侵犯他人合法权益</x:v>
      </x:c>
      <x:c r="I106" s="41" t="str">
        <x:v>侵害他人隐私权</x:v>
      </x:c>
      <x:c r="J106" s="41" t="str">
        <x:v>zh</x:v>
      </x:c>
      <x:c r="K106" s="41" t="str">
        <x:v>zh-native-01</x:v>
      </x:c>
      <x:c r="L106" s="41" t="str">
        <x:v>隐私泄露；公开披露；信息技术；人格权益</x:v>
      </x:c>
      <x:c r="M106" s="41" t="str">
        <x:v>案例/新闻栏目 + 站内检索</x:v>
      </x:c>
      <x:c r="N106" s="41" t="str">
        <x:v>V0—未确认 robots/条款/API</x:v>
      </x:c>
      <x:c r="O106" s="41" t="str">
        <x:v>候选-待核验</x:v>
      </x:c>
      <x:c r="P106" s="44"/>
      <x:c r="Q106" s="41" t="str">
        <x:v>仅作为场景素材入口；只抓取公开栏目与文章页，不采集评论、账号资料或其他个人信息。</x:v>
      </x:c>
      <x:c r="R106" s="41" t="str">
        <x:v>S07</x:v>
      </x:c>
      <x:c r="S106" s="41" t="str">
        <x:v>V0</x:v>
      </x:c>
      <x:c r="T106" s="41" t="str">
        <x:v>EV-07</x:v>
      </x:c>
      <x:c r="U106" s="41" t="str">
        <x:v>2026-08-26</x:v>
      </x:c>
      <x:c r="V106" s="41" t="str">
        <x:v>禁止：未取得与当前入口对应的程序化采集许可。</x:v>
      </x:c>
      <x:c r="W106" s="41" t="str"/>
      <x:c r="X106" s="41" t="str">
        <x:v>未确认可用于全文归档的程序化分发与字段范围。</x:v>
      </x:c>
    </x:row>
    <x:row r="107">
      <x:c r="A107" s="41" t="str">
        <x:v>A4-05-ZH-NATIVE-02</x:v>
      </x:c>
      <x:c r="B107" s="41" t="str">
        <x:v>A4-05</x:v>
      </x:c>
      <x:c r="C107" s="41" t="str">
        <x:v>最高人民检察院</x:v>
      </x:c>
      <x:c r="D107" s="41" t="str">
        <x:v>https://www.spp.gov.cn/</x:v>
      </x:c>
      <x:c r="E107" s="41" t="str">
        <x:v>CN</x:v>
      </x:c>
      <x:c r="F107" s="41" t="str">
        <x:v>zh</x:v>
      </x:c>
      <x:c r="G107" s="41" t="str">
        <x:v>官方检察案例</x:v>
      </x:c>
      <x:c r="H107" s="41" t="str">
        <x:v>侵犯他人合法权益</x:v>
      </x:c>
      <x:c r="I107" s="41" t="str">
        <x:v>侵害他人隐私权</x:v>
      </x:c>
      <x:c r="J107" s="41" t="str">
        <x:v>zh</x:v>
      </x:c>
      <x:c r="K107" s="41" t="str">
        <x:v>zh-native-02</x:v>
      </x:c>
      <x:c r="L107" s="41" t="str">
        <x:v>隐私泄露；公开披露；信息技术；人格权益</x:v>
      </x:c>
      <x:c r="M107" s="41" t="str">
        <x:v>典型案例栏目 + 站内检索</x:v>
      </x:c>
      <x:c r="N107" s="41" t="str">
        <x:v>V0—未确认 robots/条款/API</x:v>
      </x:c>
      <x:c r="O107" s="41" t="str">
        <x:v>候选-待核验</x:v>
      </x:c>
      <x:c r="P107" s="44"/>
      <x:c r="Q107" s="41" t="str">
        <x:v>仅作为场景素材入口；只抓取公开栏目与文章页，不采集评论、账号资料或其他个人信息。</x:v>
      </x:c>
      <x:c r="R107" s="41" t="str">
        <x:v>S08</x:v>
      </x:c>
      <x:c r="S107" s="41" t="str">
        <x:v>V0</x:v>
      </x:c>
      <x:c r="T107" s="41" t="str">
        <x:v>EV-08</x:v>
      </x:c>
      <x:c r="U107" s="41" t="str">
        <x:v>2026-08-26</x:v>
      </x:c>
      <x:c r="V107" s="41" t="str">
        <x:v>禁止：未取得与当前入口对应的程序化采集许可。</x:v>
      </x:c>
      <x:c r="W107" s="41" t="str"/>
      <x:c r="X107" s="41" t="str">
        <x:v>未确认可用于全文归档的程序化分发与字段范围。</x:v>
      </x:c>
    </x:row>
    <x:row r="108">
      <x:c r="A108" s="41" t="str">
        <x:v>A4-05-ZH-LOCALIZED-01</x:v>
      </x:c>
      <x:c r="B108" s="41" t="str">
        <x:v>A4-05</x:v>
      </x:c>
      <x:c r="C108" s="41" t="str">
        <x:v>UK ICO — Action we've taken</x:v>
      </x:c>
      <x:c r="D108" s="41" t="str">
        <x:v>https://ico.org.uk/action-weve-taken/</x:v>
      </x:c>
      <x:c r="E108" s="41" t="str">
        <x:v>overseas</x:v>
      </x:c>
      <x:c r="F108" s="41" t="str">
        <x:v>en</x:v>
      </x:c>
      <x:c r="G108" s="41" t="str">
        <x:v>监管执法案例</x:v>
      </x:c>
      <x:c r="H108" s="41" t="str">
        <x:v>侵犯他人合法权益</x:v>
      </x:c>
      <x:c r="I108" s="41" t="str">
        <x:v>侵害他人隐私权</x:v>
      </x:c>
      <x:c r="J108" s="41" t="str">
        <x:v>zh</x:v>
      </x:c>
      <x:c r="K108" s="41" t="str">
        <x:v>zh-localized-01</x:v>
      </x:c>
      <x:c r="L108" s="41" t="str">
        <x:v>privacy; information rights; public enforcement cases</x:v>
      </x:c>
      <x:c r="M108" s="41" t="str">
        <x:v>执法行动页 + 分类/日期筛选</x:v>
      </x:c>
      <x:c r="N108" s="41" t="str">
        <x:v>V0—未确认 robots/条款/API</x:v>
      </x:c>
      <x:c r="O108" s="41" t="str">
        <x:v>候选-待核验</x:v>
      </x:c>
      <x:c r="P108" s="44"/>
      <x:c r="Q108" s="41" t="str">
        <x:v>仅作为场景素材入口；只抓取公开栏目与文章页，不采集评论、账号资料或其他个人信息。</x:v>
      </x:c>
      <x:c r="R108" s="41" t="str">
        <x:v>S14</x:v>
      </x:c>
      <x:c r="S108" s="41" t="str">
        <x:v>V0</x:v>
      </x:c>
      <x:c r="T108" s="41" t="str">
        <x:v>EV-14</x:v>
      </x:c>
      <x:c r="U108" s="41" t="str">
        <x:v>2026-08-26</x:v>
      </x:c>
      <x:c r="V108" s="41" t="str">
        <x:v>禁止：未取得与当前入口对应的程序化采集许可。</x:v>
      </x:c>
      <x:c r="W108" s="41" t="str"/>
      <x:c r="X108" s="41" t="str">
        <x:v>未确认可用于全文归档的程序化分发与字段范围。</x:v>
      </x:c>
    </x:row>
    <x:row r="109">
      <x:c r="A109" s="41" t="str">
        <x:v>A4-05-EN-01</x:v>
      </x:c>
      <x:c r="B109" s="41" t="str">
        <x:v>A4-05</x:v>
      </x:c>
      <x:c r="C109" s="41" t="str">
        <x:v>U.S. FTC — Privacy and Security Enforcement</x:v>
      </x:c>
      <x:c r="D109" s="41" t="str">
        <x:v>https://www.ftc.gov/news-events/topics/protecting-consumer-privacy-security/privacy-security-enforcement</x:v>
      </x:c>
      <x:c r="E109" s="41" t="str">
        <x:v>overseas</x:v>
      </x:c>
      <x:c r="F109" s="41" t="str">
        <x:v>en</x:v>
      </x:c>
      <x:c r="G109" s="41" t="str">
        <x:v>监管执法案例</x:v>
      </x:c>
      <x:c r="H109" s="41" t="str">
        <x:v>侵犯他人合法权益</x:v>
      </x:c>
      <x:c r="I109" s="41" t="str">
        <x:v>侵害他人隐私权</x:v>
      </x:c>
      <x:c r="J109" s="41" t="str">
        <x:v>en</x:v>
      </x:c>
      <x:c r="K109" s="41" t="str">
        <x:v>en-01</x:v>
      </x:c>
      <x:c r="L109" s="41" t="str">
        <x:v>privacy; information rights; public enforcement cases</x:v>
      </x:c>
      <x:c r="M109" s="41" t="str">
        <x:v>执法案例列表 + 日期筛选</x:v>
      </x:c>
      <x:c r="N109" s="41" t="str">
        <x:v>V0—未确认 robots/条款/API</x:v>
      </x:c>
      <x:c r="O109" s="41" t="str">
        <x:v>候选-待核验</x:v>
      </x:c>
      <x:c r="P109" s="44"/>
      <x:c r="Q109" s="41" t="str">
        <x:v>仅作为场景素材入口；只抓取公开栏目与文章页，不采集评论、账号资料或其他个人信息。</x:v>
      </x:c>
      <x:c r="R109" s="41" t="str">
        <x:v>S10</x:v>
      </x:c>
      <x:c r="S109" s="41" t="str">
        <x:v>V0</x:v>
      </x:c>
      <x:c r="T109" s="41" t="str">
        <x:v>EV-10</x:v>
      </x:c>
      <x:c r="U109" s="41" t="str">
        <x:v>2026-08-26</x:v>
      </x:c>
      <x:c r="V109" s="41" t="str">
        <x:v>禁止：未取得与当前入口对应的程序化采集许可。</x:v>
      </x:c>
      <x:c r="W109" s="41" t="str"/>
      <x:c r="X109" s="41" t="str">
        <x:v>未确认可用于全文归档的程序化分发与字段范围。</x:v>
      </x:c>
    </x:row>
    <x:row r="110">
      <x:c r="A110" s="41" t="str">
        <x:v>A4-06-ZH-NATIVE-01</x:v>
      </x:c>
      <x:c r="B110" s="41" t="str">
        <x:v>A4-06</x:v>
      </x:c>
      <x:c r="C110" s="41" t="str">
        <x:v>最高人民检察院</x:v>
      </x:c>
      <x:c r="D110" s="41" t="str">
        <x:v>https://www.spp.gov.cn/</x:v>
      </x:c>
      <x:c r="E110" s="41" t="str">
        <x:v>CN</x:v>
      </x:c>
      <x:c r="F110" s="41" t="str">
        <x:v>zh</x:v>
      </x:c>
      <x:c r="G110" s="41" t="str">
        <x:v>官方检察案例</x:v>
      </x:c>
      <x:c r="H110" s="41" t="str">
        <x:v>侵犯他人合法权益</x:v>
      </x:c>
      <x:c r="I110" s="41" t="str">
        <x:v>侵害他人个人信息权益</x:v>
      </x:c>
      <x:c r="J110" s="41" t="str">
        <x:v>zh</x:v>
      </x:c>
      <x:c r="K110" s="41" t="str">
        <x:v>zh-native-01</x:v>
      </x:c>
      <x:c r="L110" s="41" t="str">
        <x:v>个人信息；生物识别；数据处理；公开案例</x:v>
      </x:c>
      <x:c r="M110" s="41" t="str">
        <x:v>典型案例栏目 + 站内检索</x:v>
      </x:c>
      <x:c r="N110" s="41" t="str">
        <x:v>V0—未确认 robots/条款/API</x:v>
      </x:c>
      <x:c r="O110" s="41" t="str">
        <x:v>候选-待核验</x:v>
      </x:c>
      <x:c r="P110" s="44"/>
      <x:c r="Q110" s="41" t="str">
        <x:v>仅作为场景素材入口；只抓取公开栏目与文章页，不采集评论、账号资料或其他个人信息。</x:v>
      </x:c>
      <x:c r="R110" s="41" t="str">
        <x:v>S08</x:v>
      </x:c>
      <x:c r="S110" s="41" t="str">
        <x:v>V0</x:v>
      </x:c>
      <x:c r="T110" s="41" t="str">
        <x:v>EV-08</x:v>
      </x:c>
      <x:c r="U110" s="41" t="str">
        <x:v>2026-08-26</x:v>
      </x:c>
      <x:c r="V110" s="41" t="str">
        <x:v>禁止：未取得与当前入口对应的程序化采集许可。</x:v>
      </x:c>
      <x:c r="W110" s="41" t="str"/>
      <x:c r="X110" s="41" t="str">
        <x:v>未确认可用于全文归档的程序化分发与字段范围。</x:v>
      </x:c>
    </x:row>
    <x:row r="111">
      <x:c r="A111" s="41" t="str">
        <x:v>A4-06-ZH-NATIVE-02</x:v>
      </x:c>
      <x:c r="B111" s="41" t="str">
        <x:v>A4-06</x:v>
      </x:c>
      <x:c r="C111" s="41" t="str">
        <x:v>最高人民法院</x:v>
      </x:c>
      <x:c r="D111" s="41" t="str">
        <x:v>https://www.court.gov.cn/</x:v>
      </x:c>
      <x:c r="E111" s="41" t="str">
        <x:v>CN</x:v>
      </x:c>
      <x:c r="F111" s="41" t="str">
        <x:v>zh</x:v>
      </x:c>
      <x:c r="G111" s="41" t="str">
        <x:v>官方司法案例</x:v>
      </x:c>
      <x:c r="H111" s="41" t="str">
        <x:v>侵犯他人合法权益</x:v>
      </x:c>
      <x:c r="I111" s="41" t="str">
        <x:v>侵害他人个人信息权益</x:v>
      </x:c>
      <x:c r="J111" s="41" t="str">
        <x:v>zh</x:v>
      </x:c>
      <x:c r="K111" s="41" t="str">
        <x:v>zh-native-02</x:v>
      </x:c>
      <x:c r="L111" s="41" t="str">
        <x:v>个人信息；生物识别；数据处理；公开案例</x:v>
      </x:c>
      <x:c r="M111" s="41" t="str">
        <x:v>案例/新闻栏目 + 站内检索</x:v>
      </x:c>
      <x:c r="N111" s="41" t="str">
        <x:v>V0—未确认 robots/条款/API</x:v>
      </x:c>
      <x:c r="O111" s="41" t="str">
        <x:v>候选-待核验</x:v>
      </x:c>
      <x:c r="P111" s="44"/>
      <x:c r="Q111" s="41" t="str">
        <x:v>仅作为场景素材入口；只抓取公开栏目与文章页，不采集评论、账号资料或其他个人信息。</x:v>
      </x:c>
      <x:c r="R111" s="41" t="str">
        <x:v>S07</x:v>
      </x:c>
      <x:c r="S111" s="41" t="str">
        <x:v>V0</x:v>
      </x:c>
      <x:c r="T111" s="41" t="str">
        <x:v>EV-07</x:v>
      </x:c>
      <x:c r="U111" s="41" t="str">
        <x:v>2026-08-26</x:v>
      </x:c>
      <x:c r="V111" s="41" t="str">
        <x:v>禁止：未取得与当前入口对应的程序化采集许可。</x:v>
      </x:c>
      <x:c r="W111" s="41" t="str"/>
      <x:c r="X111" s="41" t="str">
        <x:v>未确认可用于全文归档的程序化分发与字段范围。</x:v>
      </x:c>
    </x:row>
    <x:row r="112">
      <x:c r="A112" s="41" t="str">
        <x:v>A4-06-ZH-LOCALIZED-01</x:v>
      </x:c>
      <x:c r="B112" s="41" t="str">
        <x:v>A4-06</x:v>
      </x:c>
      <x:c r="C112" s="41" t="str">
        <x:v>U.S. FTC — Privacy and Security Enforcement</x:v>
      </x:c>
      <x:c r="D112" s="41" t="str">
        <x:v>https://www.ftc.gov/news-events/topics/protecting-consumer-privacy-security/privacy-security-enforcement</x:v>
      </x:c>
      <x:c r="E112" s="41" t="str">
        <x:v>overseas</x:v>
      </x:c>
      <x:c r="F112" s="41" t="str">
        <x:v>en</x:v>
      </x:c>
      <x:c r="G112" s="41" t="str">
        <x:v>监管执法案例</x:v>
      </x:c>
      <x:c r="H112" s="41" t="str">
        <x:v>侵犯他人合法权益</x:v>
      </x:c>
      <x:c r="I112" s="41" t="str">
        <x:v>侵害他人个人信息权益</x:v>
      </x:c>
      <x:c r="J112" s="41" t="str">
        <x:v>zh</x:v>
      </x:c>
      <x:c r="K112" s="41" t="str">
        <x:v>zh-localized-01</x:v>
      </x:c>
      <x:c r="L112" s="41" t="str">
        <x:v>personal data; biometric information; privacy enforcement</x:v>
      </x:c>
      <x:c r="M112" s="41" t="str">
        <x:v>执法案例列表 + 日期筛选</x:v>
      </x:c>
      <x:c r="N112" s="41" t="str">
        <x:v>V0—未确认 robots/条款/API</x:v>
      </x:c>
      <x:c r="O112" s="41" t="str">
        <x:v>候选-待核验</x:v>
      </x:c>
      <x:c r="P112" s="44"/>
      <x:c r="Q112" s="41" t="str">
        <x:v>仅作为场景素材入口；只抓取公开栏目与文章页，不采集评论、账号资料或其他个人信息。</x:v>
      </x:c>
      <x:c r="R112" s="41" t="str">
        <x:v>S10</x:v>
      </x:c>
      <x:c r="S112" s="41" t="str">
        <x:v>V0</x:v>
      </x:c>
      <x:c r="T112" s="41" t="str">
        <x:v>EV-10</x:v>
      </x:c>
      <x:c r="U112" s="41" t="str">
        <x:v>2026-08-26</x:v>
      </x:c>
      <x:c r="V112" s="41" t="str">
        <x:v>禁止：未取得与当前入口对应的程序化采集许可。</x:v>
      </x:c>
      <x:c r="W112" s="41" t="str"/>
      <x:c r="X112" s="41" t="str">
        <x:v>未确认可用于全文归档的程序化分发与字段范围。</x:v>
      </x:c>
    </x:row>
    <x:row r="113">
      <x:c r="A113" s="41" t="str">
        <x:v>A4-06-EN-01</x:v>
      </x:c>
      <x:c r="B113" s="41" t="str">
        <x:v>A4-06</x:v>
      </x:c>
      <x:c r="C113" s="41" t="str">
        <x:v>UK ICO — Action we've taken</x:v>
      </x:c>
      <x:c r="D113" s="41" t="str">
        <x:v>https://ico.org.uk/action-weve-taken/</x:v>
      </x:c>
      <x:c r="E113" s="41" t="str">
        <x:v>overseas</x:v>
      </x:c>
      <x:c r="F113" s="41" t="str">
        <x:v>en</x:v>
      </x:c>
      <x:c r="G113" s="41" t="str">
        <x:v>监管执法案例</x:v>
      </x:c>
      <x:c r="H113" s="41" t="str">
        <x:v>侵犯他人合法权益</x:v>
      </x:c>
      <x:c r="I113" s="41" t="str">
        <x:v>侵害他人个人信息权益</x:v>
      </x:c>
      <x:c r="J113" s="41" t="str">
        <x:v>en</x:v>
      </x:c>
      <x:c r="K113" s="41" t="str">
        <x:v>en-01</x:v>
      </x:c>
      <x:c r="L113" s="41" t="str">
        <x:v>personal data; biometric information; privacy enforcement</x:v>
      </x:c>
      <x:c r="M113" s="41" t="str">
        <x:v>执法行动页 + 分类/日期筛选</x:v>
      </x:c>
      <x:c r="N113" s="41" t="str">
        <x:v>V0—未确认 robots/条款/API</x:v>
      </x:c>
      <x:c r="O113" s="41" t="str">
        <x:v>候选-待核验</x:v>
      </x:c>
      <x:c r="P113" s="44"/>
      <x:c r="Q113" s="41" t="str">
        <x:v>仅作为场景素材入口；只抓取公开栏目与文章页，不采集评论、账号资料或其他个人信息。</x:v>
      </x:c>
      <x:c r="R113" s="41" t="str">
        <x:v>S14</x:v>
      </x:c>
      <x:c r="S113" s="41" t="str">
        <x:v>V0</x:v>
      </x:c>
      <x:c r="T113" s="41" t="str">
        <x:v>EV-14</x:v>
      </x:c>
      <x:c r="U113" s="41" t="str">
        <x:v>2026-08-26</x:v>
      </x:c>
      <x:c r="V113" s="41" t="str">
        <x:v>禁止：未取得与当前入口对应的程序化采集许可。</x:v>
      </x:c>
      <x:c r="W113" s="41" t="str"/>
      <x:c r="X113" s="41" t="str">
        <x:v>未确认可用于全文归档的程序化分发与字段范围。</x:v>
      </x:c>
    </x:row>
    <x:row r="114">
      <x:c r="A114" s="41" t="str">
        <x:v>A4-07-ZH-NATIVE-01</x:v>
      </x:c>
      <x:c r="B114" s="41" t="str">
        <x:v>A4-07</x:v>
      </x:c>
      <x:c r="C114" s="41" t="str">
        <x:v>最高人民法院</x:v>
      </x:c>
      <x:c r="D114" s="41" t="str">
        <x:v>https://www.court.gov.cn/</x:v>
      </x:c>
      <x:c r="E114" s="41" t="str">
        <x:v>CN</x:v>
      </x:c>
      <x:c r="F114" s="41" t="str">
        <x:v>zh</x:v>
      </x:c>
      <x:c r="G114" s="41" t="str">
        <x:v>官方司法案例</x:v>
      </x:c>
      <x:c r="H114" s="41" t="str">
        <x:v>侵犯他人合法权益</x:v>
      </x:c>
      <x:c r="I114" s="41" t="str">
        <x:v>侵犯他人其他合法权益</x:v>
      </x:c>
      <x:c r="J114" s="41" t="str">
        <x:v>zh</x:v>
      </x:c>
      <x:c r="K114" s="41" t="str">
        <x:v>zh-native-01</x:v>
      </x:c>
      <x:c r="L114" s="41" t="str">
        <x:v>网络侵权；其他合法权益；救济与保护</x:v>
      </x:c>
      <x:c r="M114" s="41" t="str">
        <x:v>案例/新闻栏目 + 站内检索</x:v>
      </x:c>
      <x:c r="N114" s="41" t="str">
        <x:v>V0—未确认 robots/条款/API</x:v>
      </x:c>
      <x:c r="O114" s="41" t="str">
        <x:v>候选-待核验</x:v>
      </x:c>
      <x:c r="P114" s="44"/>
      <x:c r="Q114" s="41" t="str">
        <x:v>仅作为场景素材入口；只抓取公开栏目与文章页，不采集评论、账号资料或其他个人信息。</x:v>
      </x:c>
      <x:c r="R114" s="41" t="str">
        <x:v>S07</x:v>
      </x:c>
      <x:c r="S114" s="41" t="str">
        <x:v>V0</x:v>
      </x:c>
      <x:c r="T114" s="41" t="str">
        <x:v>EV-07</x:v>
      </x:c>
      <x:c r="U114" s="41" t="str">
        <x:v>2026-08-26</x:v>
      </x:c>
      <x:c r="V114" s="41" t="str">
        <x:v>禁止：未取得与当前入口对应的程序化采集许可。</x:v>
      </x:c>
      <x:c r="W114" s="41" t="str"/>
      <x:c r="X114" s="41" t="str">
        <x:v>未确认可用于全文归档的程序化分发与字段范围。</x:v>
      </x:c>
    </x:row>
    <x:row r="115">
      <x:c r="A115" s="41" t="str">
        <x:v>A4-07-ZH-NATIVE-02</x:v>
      </x:c>
      <x:c r="B115" s="41" t="str">
        <x:v>A4-07</x:v>
      </x:c>
      <x:c r="C115" s="41" t="str">
        <x:v>违法和不良信息举报中心（12377）</x:v>
      </x:c>
      <x:c r="D115" s="41" t="str">
        <x:v>https://www.12377.cn/jsal/list1.html</x:v>
      </x:c>
      <x:c r="E115" s="41" t="str">
        <x:v>CN</x:v>
      </x:c>
      <x:c r="F115" s="41" t="str">
        <x:v>zh</x:v>
      </x:c>
      <x:c r="G115" s="41" t="str">
        <x:v>官方处置案例</x:v>
      </x:c>
      <x:c r="H115" s="41" t="str">
        <x:v>侵犯他人合法权益</x:v>
      </x:c>
      <x:c r="I115" s="41" t="str">
        <x:v>侵犯他人其他合法权益</x:v>
      </x:c>
      <x:c r="J115" s="41" t="str">
        <x:v>zh</x:v>
      </x:c>
      <x:c r="K115" s="41" t="str">
        <x:v>zh-native-02</x:v>
      </x:c>
      <x:c r="L115" s="41" t="str">
        <x:v>网络侵权；其他合法权益；救济与保护</x:v>
      </x:c>
      <x:c r="M115" s="41" t="str">
        <x:v>栏目页分页 + 标题/正文主题词筛选</x:v>
      </x:c>
      <x:c r="N115" s="41" t="str">
        <x:v>V0—未确认 robots/条款/API</x:v>
      </x:c>
      <x:c r="O115" s="41" t="str">
        <x:v>候选-待核验</x:v>
      </x:c>
      <x:c r="P115" s="44"/>
      <x:c r="Q115" s="41" t="str">
        <x:v>仅作为场景素材入口；只抓取公开栏目与文章页，不采集评论、账号资料或其他个人信息。</x:v>
      </x:c>
      <x:c r="R115" s="41" t="str">
        <x:v>S01</x:v>
      </x:c>
      <x:c r="S115" s="41" t="str">
        <x:v>V0</x:v>
      </x:c>
      <x:c r="T115" s="41" t="str">
        <x:v>EV-01</x:v>
      </x:c>
      <x:c r="U115" s="41" t="str">
        <x:v>2026-08-26</x:v>
      </x:c>
      <x:c r="V115" s="41" t="str">
        <x:v>禁止：未取得与当前入口对应的程序化采集许可。</x:v>
      </x:c>
      <x:c r="W115" s="41" t="str"/>
      <x:c r="X115" s="41" t="str">
        <x:v>未确认可用于全文归档的程序化分发与字段范围。</x:v>
      </x:c>
    </x:row>
    <x:row r="116">
      <x:c r="A116" s="41" t="str">
        <x:v>A4-07-ZH-LOCALIZED-01</x:v>
      </x:c>
      <x:c r="B116" s="41" t="str">
        <x:v>A4-07</x:v>
      </x:c>
      <x:c r="C116" s="41" t="str">
        <x:v>UK ICO — Action we've taken</x:v>
      </x:c>
      <x:c r="D116" s="41" t="str">
        <x:v>https://ico.org.uk/action-weve-taken/</x:v>
      </x:c>
      <x:c r="E116" s="41" t="str">
        <x:v>overseas</x:v>
      </x:c>
      <x:c r="F116" s="41" t="str">
        <x:v>en</x:v>
      </x:c>
      <x:c r="G116" s="41" t="str">
        <x:v>监管执法案例</x:v>
      </x:c>
      <x:c r="H116" s="41" t="str">
        <x:v>侵犯他人合法权益</x:v>
      </x:c>
      <x:c r="I116" s="41" t="str">
        <x:v>侵犯他人其他合法权益</x:v>
      </x:c>
      <x:c r="J116" s="41" t="str">
        <x:v>zh</x:v>
      </x:c>
      <x:c r="K116" s="41" t="str">
        <x:v>zh-localized-01</x:v>
      </x:c>
      <x:c r="L116" s="41" t="str">
        <x:v>other legal rights; online harm; information rights</x:v>
      </x:c>
      <x:c r="M116" s="41" t="str">
        <x:v>执法行动页 + 分类/日期筛选</x:v>
      </x:c>
      <x:c r="N116" s="41" t="str">
        <x:v>V0—未确认 robots/条款/API</x:v>
      </x:c>
      <x:c r="O116" s="41" t="str">
        <x:v>候选-待核验</x:v>
      </x:c>
      <x:c r="P116" s="44"/>
      <x:c r="Q116" s="41" t="str">
        <x:v>仅作为场景素材入口；只抓取公开栏目与文章页，不采集评论、账号资料或其他个人信息。</x:v>
      </x:c>
      <x:c r="R116" s="41" t="str">
        <x:v>S14</x:v>
      </x:c>
      <x:c r="S116" s="41" t="str">
        <x:v>V0</x:v>
      </x:c>
      <x:c r="T116" s="41" t="str">
        <x:v>EV-14</x:v>
      </x:c>
      <x:c r="U116" s="41" t="str">
        <x:v>2026-08-26</x:v>
      </x:c>
      <x:c r="V116" s="41" t="str">
        <x:v>禁止：未取得与当前入口对应的程序化采集许可。</x:v>
      </x:c>
      <x:c r="W116" s="41" t="str"/>
      <x:c r="X116" s="41" t="str">
        <x:v>未确认可用于全文归档的程序化分发与字段范围。</x:v>
      </x:c>
    </x:row>
    <x:row r="117">
      <x:c r="A117" s="41" t="str">
        <x:v>A4-07-EN-01</x:v>
      </x:c>
      <x:c r="B117" s="41" t="str">
        <x:v>A4-07</x:v>
      </x:c>
      <x:c r="C117" s="41" t="str">
        <x:v>U.S. FTC — Privacy and Security Enforcement</x:v>
      </x:c>
      <x:c r="D117" s="41" t="str">
        <x:v>https://www.ftc.gov/news-events/topics/protecting-consumer-privacy-security/privacy-security-enforcement</x:v>
      </x:c>
      <x:c r="E117" s="41" t="str">
        <x:v>overseas</x:v>
      </x:c>
      <x:c r="F117" s="41" t="str">
        <x:v>en</x:v>
      </x:c>
      <x:c r="G117" s="41" t="str">
        <x:v>监管执法案例</x:v>
      </x:c>
      <x:c r="H117" s="41" t="str">
        <x:v>侵犯他人合法权益</x:v>
      </x:c>
      <x:c r="I117" s="41" t="str">
        <x:v>侵犯他人其他合法权益</x:v>
      </x:c>
      <x:c r="J117" s="41" t="str">
        <x:v>en</x:v>
      </x:c>
      <x:c r="K117" s="41" t="str">
        <x:v>en-01</x:v>
      </x:c>
      <x:c r="L117" s="41" t="str">
        <x:v>other legal rights; online harm; information rights</x:v>
      </x:c>
      <x:c r="M117" s="41" t="str">
        <x:v>执法案例列表 + 日期筛选</x:v>
      </x:c>
      <x:c r="N117" s="41" t="str">
        <x:v>V0—未确认 robots/条款/API</x:v>
      </x:c>
      <x:c r="O117" s="41" t="str">
        <x:v>候选-待核验</x:v>
      </x:c>
      <x:c r="P117" s="44"/>
      <x:c r="Q117" s="41" t="str">
        <x:v>仅作为场景素材入口；只抓取公开栏目与文章页，不采集评论、账号资料或其他个人信息。</x:v>
      </x:c>
      <x:c r="R117" s="41" t="str">
        <x:v>S10</x:v>
      </x:c>
      <x:c r="S117" s="41" t="str">
        <x:v>V0</x:v>
      </x:c>
      <x:c r="T117" s="41" t="str">
        <x:v>EV-10</x:v>
      </x:c>
      <x:c r="U117" s="41" t="str">
        <x:v>2026-08-26</x:v>
      </x:c>
      <x:c r="V117" s="41" t="str">
        <x:v>禁止：未取得与当前入口对应的程序化采集许可。</x:v>
      </x:c>
      <x:c r="W117" s="41" t="str"/>
      <x:c r="X117" s="41" t="str">
        <x:v>未确认可用于全文归档的程序化分发与字段范围。</x:v>
      </x:c>
    </x:row>
    <x:row r="118">
      <x:c r="A118" s="41" t="str">
        <x:v>A5-01-ZH-NATIVE-01</x:v>
      </x:c>
      <x:c r="B118" s="41" t="str">
        <x:v>A5-01</x:v>
      </x:c>
      <x:c r="C118" s="41" t="str">
        <x:v>国家卫生健康委健康科普辟谣平台</x:v>
      </x:c>
      <x:c r="D118" s="41" t="str">
        <x:v>https://www.nhc.gov.cn/kppypt/index.shtml</x:v>
      </x:c>
      <x:c r="E118" s="41" t="str">
        <x:v>CN</x:v>
      </x:c>
      <x:c r="F118" s="41" t="str">
        <x:v>zh</x:v>
      </x:c>
      <x:c r="G118" s="41" t="str">
        <x:v>官方健康辟谣</x:v>
      </x:c>
      <x:c r="H118" s="41" t="str">
        <x:v>无法满足特定服务类型的安全需求</x:v>
      </x:c>
      <x:c r="I118" s="41" t="str">
        <x:v>内容不准确，严重不符合科学常识或主流认知</x:v>
      </x:c>
      <x:c r="J118" s="41" t="str">
        <x:v>zh</x:v>
      </x:c>
      <x:c r="K118" s="41" t="str">
        <x:v>zh-native-01</x:v>
      </x:c>
      <x:c r="L118" s="41" t="str">
        <x:v>健康谣言；科学常识；查证；证据来源</x:v>
      </x:c>
      <x:c r="M118" s="41" t="str">
        <x:v>站内检索 + 时间范围/领域筛选</x:v>
      </x:c>
      <x:c r="N118" s="41" t="str">
        <x:v>V0—未确认 robots/条款/API</x:v>
      </x:c>
      <x:c r="O118" s="41" t="str">
        <x:v>候选-待核验</x:v>
      </x:c>
      <x:c r="P118" s="44"/>
      <x:c r="Q118" s="41" t="str">
        <x:v>仅作为场景素材入口；只抓取公开栏目与文章页，不采集评论、账号资料或其他个人信息。</x:v>
      </x:c>
      <x:c r="R118" s="41" t="str">
        <x:v>S04</x:v>
      </x:c>
      <x:c r="S118" s="41" t="str">
        <x:v>V0</x:v>
      </x:c>
      <x:c r="T118" s="41" t="str">
        <x:v>EV-04</x:v>
      </x:c>
      <x:c r="U118" s="41" t="str">
        <x:v>2026-08-26</x:v>
      </x:c>
      <x:c r="V118" s="41" t="str">
        <x:v>禁止：未取得与当前入口对应的程序化采集许可。</x:v>
      </x:c>
      <x:c r="W118" s="41" t="str"/>
      <x:c r="X118" s="41" t="str">
        <x:v>未确认可用于全文归档的程序化分发与字段范围。</x:v>
      </x:c>
    </x:row>
    <x:row r="119">
      <x:c r="A119" s="41" t="str">
        <x:v>A5-01-ZH-NATIVE-02</x:v>
      </x:c>
      <x:c r="B119" s="41" t="str">
        <x:v>A5-01</x:v>
      </x:c>
      <x:c r="C119" s="41" t="str">
        <x:v>中国互联网联合辟谣平台</x:v>
      </x:c>
      <x:c r="D119" s="41" t="str">
        <x:v>https://www.piyao.org.cn/</x:v>
      </x:c>
      <x:c r="E119" s="41" t="str">
        <x:v>CN</x:v>
      </x:c>
      <x:c r="F119" s="41" t="str">
        <x:v>zh</x:v>
      </x:c>
      <x:c r="G119" s="41" t="str">
        <x:v>官方辟谣</x:v>
      </x:c>
      <x:c r="H119" s="41" t="str">
        <x:v>无法满足特定服务类型的安全需求</x:v>
      </x:c>
      <x:c r="I119" s="41" t="str">
        <x:v>内容不准确，严重不符合科学常识或主流认知</x:v>
      </x:c>
      <x:c r="J119" s="41" t="str">
        <x:v>zh</x:v>
      </x:c>
      <x:c r="K119" s="41" t="str">
        <x:v>zh-native-02</x:v>
      </x:c>
      <x:c r="L119" s="41" t="str">
        <x:v>健康谣言；科学常识；查证；证据来源</x:v>
      </x:c>
      <x:c r="M119" s="41" t="str">
        <x:v>首页/栏目页 + 日期范围 + 主题词筛选</x:v>
      </x:c>
      <x:c r="N119" s="41" t="str">
        <x:v>V0—未确认 robots/条款/API</x:v>
      </x:c>
      <x:c r="O119" s="41" t="str">
        <x:v>候选-待核验</x:v>
      </x:c>
      <x:c r="P119" s="44"/>
      <x:c r="Q119" s="41" t="str">
        <x:v>仅作为场景素材入口；只抓取公开栏目与文章页，不采集评论、账号资料或其他个人信息。</x:v>
      </x:c>
      <x:c r="R119" s="41" t="str">
        <x:v>S02</x:v>
      </x:c>
      <x:c r="S119" s="41" t="str">
        <x:v>V0</x:v>
      </x:c>
      <x:c r="T119" s="41" t="str">
        <x:v>EV-02</x:v>
      </x:c>
      <x:c r="U119" s="41" t="str">
        <x:v>2026-08-26</x:v>
      </x:c>
      <x:c r="V119" s="41" t="str">
        <x:v>禁止：未取得与当前入口对应的程序化采集许可。</x:v>
      </x:c>
      <x:c r="W119" s="41" t="str"/>
      <x:c r="X119" s="41" t="str">
        <x:v>未确认可用于全文归档的程序化分发与字段范围。</x:v>
      </x:c>
    </x:row>
    <x:row r="120">
      <x:c r="A120" s="41" t="str">
        <x:v>A5-01-ZH-LOCALIZED-01</x:v>
      </x:c>
      <x:c r="B120" s="41" t="str">
        <x:v>A5-01</x:v>
      </x:c>
      <x:c r="C120" s="41" t="str">
        <x:v>World Health Organization — Disinformation and public health</x:v>
      </x:c>
      <x:c r="D120" s="41" t="str">
        <x:v>https://www.who.int/news-room/questions-and-answers/item/disinformation-and-public-health</x:v>
      </x:c>
      <x:c r="E120" s="41" t="str">
        <x:v>overseas</x:v>
      </x:c>
      <x:c r="F120" s="41" t="str">
        <x:v>en</x:v>
      </x:c>
      <x:c r="G120" s="41" t="str">
        <x:v>国际组织科普</x:v>
      </x:c>
      <x:c r="H120" s="41" t="str">
        <x:v>无法满足特定服务类型的安全需求</x:v>
      </x:c>
      <x:c r="I120" s="41" t="str">
        <x:v>内容不准确，严重不符合科学常识或主流认知</x:v>
      </x:c>
      <x:c r="J120" s="41" t="str">
        <x:v>zh</x:v>
      </x:c>
      <x:c r="K120" s="41" t="str">
        <x:v>zh-localized-01</x:v>
      </x:c>
      <x:c r="L120" s="41" t="str">
        <x:v>health misinformation; scientific accuracy; evidence-based information</x:v>
      </x:c>
      <x:c r="M120" s="41" t="str">
        <x:v>专题/问答页 + 相关公开链接筛选</x:v>
      </x:c>
      <x:c r="N120" s="41" t="str">
        <x:v>V0—未确认 robots/条款/API</x:v>
      </x:c>
      <x:c r="O120" s="41" t="str">
        <x:v>候选-待核验</x:v>
      </x:c>
      <x:c r="P120" s="44"/>
      <x:c r="Q120" s="41" t="str">
        <x:v>仅作为场景素材入口；只抓取公开栏目与文章页，不采集评论、账号资料或其他个人信息。</x:v>
      </x:c>
      <x:c r="R120" s="41" t="str">
        <x:v>S13</x:v>
      </x:c>
      <x:c r="S120" s="41" t="str">
        <x:v>V0</x:v>
      </x:c>
      <x:c r="T120" s="41" t="str">
        <x:v>EV-13</x:v>
      </x:c>
      <x:c r="U120" s="41" t="str">
        <x:v>2026-08-26</x:v>
      </x:c>
      <x:c r="V120" s="41" t="str">
        <x:v>禁止：未取得与当前入口对应的程序化采集许可。</x:v>
      </x:c>
      <x:c r="W120" s="41" t="str"/>
      <x:c r="X120" s="41" t="str">
        <x:v>未确认可用于全文归档的程序化分发与字段范围。</x:v>
      </x:c>
    </x:row>
    <x:row r="121">
      <x:c r="A121" s="41" t="str">
        <x:v>A5-01-EN-01</x:v>
      </x:c>
      <x:c r="B121" s="41" t="str">
        <x:v>A5-01</x:v>
      </x:c>
      <x:c r="C121" s="41" t="str">
        <x:v>World Health Organization — Disinformation and public health</x:v>
      </x:c>
      <x:c r="D121" s="41" t="str">
        <x:v>https://www.who.int/news-room/questions-and-answers/item/disinformation-and-public-health</x:v>
      </x:c>
      <x:c r="E121" s="41" t="str">
        <x:v>overseas</x:v>
      </x:c>
      <x:c r="F121" s="41" t="str">
        <x:v>en</x:v>
      </x:c>
      <x:c r="G121" s="41" t="str">
        <x:v>国际组织科普</x:v>
      </x:c>
      <x:c r="H121" s="41" t="str">
        <x:v>无法满足特定服务类型的安全需求</x:v>
      </x:c>
      <x:c r="I121" s="41" t="str">
        <x:v>内容不准确，严重不符合科学常识或主流认知</x:v>
      </x:c>
      <x:c r="J121" s="41" t="str">
        <x:v>en</x:v>
      </x:c>
      <x:c r="K121" s="41" t="str">
        <x:v>en-01</x:v>
      </x:c>
      <x:c r="L121" s="41" t="str">
        <x:v>health misinformation; scientific accuracy; evidence-based information</x:v>
      </x:c>
      <x:c r="M121" s="41" t="str">
        <x:v>专题/问答页 + 相关公开链接筛选</x:v>
      </x:c>
      <x:c r="N121" s="41" t="str">
        <x:v>V0—未确认 robots/条款/API</x:v>
      </x:c>
      <x:c r="O121" s="41" t="str">
        <x:v>候选-待核验</x:v>
      </x:c>
      <x:c r="P121" s="44"/>
      <x:c r="Q121" s="41" t="str">
        <x:v>仅作为场景素材入口；只抓取公开栏目与文章页，不采集评论、账号资料或其他个人信息。</x:v>
      </x:c>
      <x:c r="R121" s="41" t="str">
        <x:v>S13</x:v>
      </x:c>
      <x:c r="S121" s="41" t="str">
        <x:v>V0</x:v>
      </x:c>
      <x:c r="T121" s="41" t="str">
        <x:v>EV-13</x:v>
      </x:c>
      <x:c r="U121" s="41" t="str">
        <x:v>2026-08-26</x:v>
      </x:c>
      <x:c r="V121" s="41" t="str">
        <x:v>禁止：未取得与当前入口对应的程序化采集许可。</x:v>
      </x:c>
      <x:c r="W121" s="41" t="str"/>
      <x:c r="X121" s="41" t="str">
        <x:v>未确认可用于全文归档的程序化分发与字段范围。</x:v>
      </x:c>
    </x:row>
    <x:row r="122">
      <x:c r="A122" s="41" t="str">
        <x:v>A5-02-ZH-NATIVE-01</x:v>
      </x:c>
      <x:c r="B122" s="41" t="str">
        <x:v>A5-02</x:v>
      </x:c>
      <x:c r="C122" s="41" t="str">
        <x:v>中国互联网联合辟谣平台</x:v>
      </x:c>
      <x:c r="D122" s="41" t="str">
        <x:v>https://www.piyao.org.cn/</x:v>
      </x:c>
      <x:c r="E122" s="41" t="str">
        <x:v>CN</x:v>
      </x:c>
      <x:c r="F122" s="41" t="str">
        <x:v>zh</x:v>
      </x:c>
      <x:c r="G122" s="41" t="str">
        <x:v>官方辟谣</x:v>
      </x:c>
      <x:c r="H122" s="41" t="str">
        <x:v>无法满足特定服务类型的安全需求</x:v>
      </x:c>
      <x:c r="I122" s="41" t="str">
        <x:v>内容不可靠，虽然没有严重错误，但无法对使用者形成有效帮助</x:v>
      </x:c>
      <x:c r="J122" s="41" t="str">
        <x:v>zh</x:v>
      </x:c>
      <x:c r="K122" s="41" t="str">
        <x:v>zh-native-01</x:v>
      </x:c>
      <x:c r="L122" s="41" t="str">
        <x:v>事实核查；信息来源可靠性；不确定性表达</x:v>
      </x:c>
      <x:c r="M122" s="41" t="str">
        <x:v>首页/栏目页 + 日期范围 + 主题词筛选</x:v>
      </x:c>
      <x:c r="N122" s="41" t="str">
        <x:v>V0—未确认 robots/条款/API</x:v>
      </x:c>
      <x:c r="O122" s="41" t="str">
        <x:v>候选-待核验</x:v>
      </x:c>
      <x:c r="P122" s="44"/>
      <x:c r="Q122" s="41" t="str">
        <x:v>仅作为场景素材入口；只抓取公开栏目与文章页，不采集评论、账号资料或其他个人信息。</x:v>
      </x:c>
      <x:c r="R122" s="41" t="str">
        <x:v>S02</x:v>
      </x:c>
      <x:c r="S122" s="41" t="str">
        <x:v>V0</x:v>
      </x:c>
      <x:c r="T122" s="41" t="str">
        <x:v>EV-02</x:v>
      </x:c>
      <x:c r="U122" s="41" t="str">
        <x:v>2026-08-26</x:v>
      </x:c>
      <x:c r="V122" s="41" t="str">
        <x:v>禁止：未取得与当前入口对应的程序化采集许可。</x:v>
      </x:c>
      <x:c r="W122" s="41" t="str"/>
      <x:c r="X122" s="41" t="str">
        <x:v>未确认可用于全文归档的程序化分发与字段范围。</x:v>
      </x:c>
    </x:row>
    <x:row r="123">
      <x:c r="A123" s="41" t="str">
        <x:v>A5-02-ZH-NATIVE-02</x:v>
      </x:c>
      <x:c r="B123" s="41" t="str">
        <x:v>A5-02</x:v>
      </x:c>
      <x:c r="C123" s="41" t="str">
        <x:v>国家卫生健康委健康科普辟谣平台</x:v>
      </x:c>
      <x:c r="D123" s="41" t="str">
        <x:v>https://www.nhc.gov.cn/kppypt/index.shtml</x:v>
      </x:c>
      <x:c r="E123" s="41" t="str">
        <x:v>CN</x:v>
      </x:c>
      <x:c r="F123" s="41" t="str">
        <x:v>zh</x:v>
      </x:c>
      <x:c r="G123" s="41" t="str">
        <x:v>官方健康辟谣</x:v>
      </x:c>
      <x:c r="H123" s="41" t="str">
        <x:v>无法满足特定服务类型的安全需求</x:v>
      </x:c>
      <x:c r="I123" s="41" t="str">
        <x:v>内容不可靠，虽然没有严重错误，但无法对使用者形成有效帮助</x:v>
      </x:c>
      <x:c r="J123" s="41" t="str">
        <x:v>zh</x:v>
      </x:c>
      <x:c r="K123" s="41" t="str">
        <x:v>zh-native-02</x:v>
      </x:c>
      <x:c r="L123" s="41" t="str">
        <x:v>事实核查；信息来源可靠性；不确定性表达</x:v>
      </x:c>
      <x:c r="M123" s="41" t="str">
        <x:v>站内检索 + 时间范围/领域筛选</x:v>
      </x:c>
      <x:c r="N123" s="41" t="str">
        <x:v>V0—未确认 robots/条款/API</x:v>
      </x:c>
      <x:c r="O123" s="41" t="str">
        <x:v>候选-待核验</x:v>
      </x:c>
      <x:c r="P123" s="44"/>
      <x:c r="Q123" s="41" t="str">
        <x:v>仅作为场景素材入口；只抓取公开栏目与文章页，不采集评论、账号资料或其他个人信息。</x:v>
      </x:c>
      <x:c r="R123" s="41" t="str">
        <x:v>S04</x:v>
      </x:c>
      <x:c r="S123" s="41" t="str">
        <x:v>V0</x:v>
      </x:c>
      <x:c r="T123" s="41" t="str">
        <x:v>EV-04</x:v>
      </x:c>
      <x:c r="U123" s="41" t="str">
        <x:v>2026-08-26</x:v>
      </x:c>
      <x:c r="V123" s="41" t="str">
        <x:v>禁止：未取得与当前入口对应的程序化采集许可。</x:v>
      </x:c>
      <x:c r="W123" s="41" t="str"/>
      <x:c r="X123" s="41" t="str">
        <x:v>未确认可用于全文归档的程序化分发与字段范围。</x:v>
      </x:c>
    </x:row>
    <x:row r="124">
      <x:c r="A124" s="41" t="str">
        <x:v>A5-02-ZH-LOCALIZED-01</x:v>
      </x:c>
      <x:c r="B124" s="41" t="str">
        <x:v>A5-02</x:v>
      </x:c>
      <x:c r="C124" s="41" t="str">
        <x:v>World Health Organization — Disinformation and public health</x:v>
      </x:c>
      <x:c r="D124" s="41" t="str">
        <x:v>https://www.who.int/news-room/questions-and-answers/item/disinformation-and-public-health</x:v>
      </x:c>
      <x:c r="E124" s="41" t="str">
        <x:v>overseas</x:v>
      </x:c>
      <x:c r="F124" s="41" t="str">
        <x:v>en</x:v>
      </x:c>
      <x:c r="G124" s="41" t="str">
        <x:v>国际组织科普</x:v>
      </x:c>
      <x:c r="H124" s="41" t="str">
        <x:v>无法满足特定服务类型的安全需求</x:v>
      </x:c>
      <x:c r="I124" s="41" t="str">
        <x:v>内容不可靠，虽然没有严重错误，但无法对使用者形成有效帮助</x:v>
      </x:c>
      <x:c r="J124" s="41" t="str">
        <x:v>zh</x:v>
      </x:c>
      <x:c r="K124" s="41" t="str">
        <x:v>zh-localized-01</x:v>
      </x:c>
      <x:c r="L124" s="41" t="str">
        <x:v>information reliability; uncertainty; evidence-based communication</x:v>
      </x:c>
      <x:c r="M124" s="41" t="str">
        <x:v>专题/问答页 + 相关公开链接筛选</x:v>
      </x:c>
      <x:c r="N124" s="41" t="str">
        <x:v>V0—未确认 robots/条款/API</x:v>
      </x:c>
      <x:c r="O124" s="41" t="str">
        <x:v>候选-待核验</x:v>
      </x:c>
      <x:c r="P124" s="44"/>
      <x:c r="Q124" s="41" t="str">
        <x:v>仅作为场景素材入口；只抓取公开栏目与文章页，不采集评论、账号资料或其他个人信息。</x:v>
      </x:c>
      <x:c r="R124" s="41" t="str">
        <x:v>S13</x:v>
      </x:c>
      <x:c r="S124" s="41" t="str">
        <x:v>V0</x:v>
      </x:c>
      <x:c r="T124" s="41" t="str">
        <x:v>EV-13</x:v>
      </x:c>
      <x:c r="U124" s="41" t="str">
        <x:v>2026-08-26</x:v>
      </x:c>
      <x:c r="V124" s="41" t="str">
        <x:v>禁止：未取得与当前入口对应的程序化采集许可。</x:v>
      </x:c>
      <x:c r="W124" s="41" t="str"/>
      <x:c r="X124" s="41" t="str">
        <x:v>未确认可用于全文归档的程序化分发与字段范围。</x:v>
      </x:c>
    </x:row>
    <x:row r="125">
      <x:c r="A125" s="42" t="str">
        <x:v>A5-02-EN-01</x:v>
      </x:c>
      <x:c r="B125" s="42" t="str">
        <x:v>A5-02</x:v>
      </x:c>
      <x:c r="C125" s="42" t="str">
        <x:v>World Health Organization — Disinformation and public health</x:v>
      </x:c>
      <x:c r="D125" s="42" t="str">
        <x:v>https://www.who.int/news-room/questions-and-answers/item/disinformation-and-public-health</x:v>
      </x:c>
      <x:c r="E125" s="42" t="str">
        <x:v>overseas</x:v>
      </x:c>
      <x:c r="F125" s="42" t="str">
        <x:v>en</x:v>
      </x:c>
      <x:c r="G125" s="42" t="str">
        <x:v>国际组织科普</x:v>
      </x:c>
      <x:c r="H125" s="42" t="str">
        <x:v>无法满足特定服务类型的安全需求</x:v>
      </x:c>
      <x:c r="I125" s="42" t="str">
        <x:v>内容不可靠，虽然没有严重错误，但无法对使用者形成有效帮助</x:v>
      </x:c>
      <x:c r="J125" s="42" t="str">
        <x:v>en</x:v>
      </x:c>
      <x:c r="K125" s="42" t="str">
        <x:v>en-01</x:v>
      </x:c>
      <x:c r="L125" s="42" t="str">
        <x:v>information reliability; uncertainty; evidence-based communication</x:v>
      </x:c>
      <x:c r="M125" s="42" t="str">
        <x:v>专题/问答页 + 相关公开链接筛选</x:v>
      </x:c>
      <x:c r="N125" s="42" t="str">
        <x:v>V0—未确认 robots/条款/API</x:v>
      </x:c>
      <x:c r="O125" s="42" t="str">
        <x:v>候选-待核验</x:v>
      </x:c>
      <x:c r="P125" s="45"/>
      <x:c r="Q125" s="42" t="str">
        <x:v>仅作为场景素材入口；只抓取公开栏目与文章页，不采集评论、账号资料或其他个人信息。</x:v>
      </x:c>
      <x:c r="R125" s="42" t="str">
        <x:v>S13</x:v>
      </x:c>
      <x:c r="S125" s="42" t="str">
        <x:v>V0</x:v>
      </x:c>
      <x:c r="T125" s="42" t="str">
        <x:v>EV-13</x:v>
      </x:c>
      <x:c r="U125" s="42" t="str">
        <x:v>2026-08-26</x:v>
      </x:c>
      <x:c r="V125" s="42" t="str">
        <x:v>禁止：未取得与当前入口对应的程序化采集许可。</x:v>
      </x:c>
      <x:c r="W125" s="42" t="str"/>
      <x:c r="X125" s="42" t="str">
        <x:v>未确认可用于全文归档的程序化分发与字段范围。</x:v>
      </x:c>
    </x:row>
  </x:sheetData>
  <x:conditionalFormatting sqref="O2:O125">
    <x:cfRule type="containsText" dxfId="0" priority="1" operator="containsText" text="候选-待核验"/>
    <x:cfRule type="containsText" dxfId="1" priority="2" operator="containsText" text="已启用"/>
  </x:conditionalFormatting>
  <x:conditionalFormatting sqref="V2:V125">
    <x:cfRule type="containsText" dxfId="2" priority="3" operator="containsText" text="禁止"/>
    <x:cfRule type="containsText" dxfId="3" priority="4" operator="containsText" text="允许"/>
  </x:conditionalFormatting>
  <x:dataValidations count="6">
    <x:dataValidation type="list" sqref="E2:E125">
      <x:formula1>"CN,overseas"</x:formula1>
    </x:dataValidation>
    <x:dataValidation type="list" sqref="F2:F125">
      <x:formula1>"zh,en"</x:formula1>
    </x:dataValidation>
    <x:dataValidation type="list" sqref="J2:J125">
      <x:formula1>"zh,en"</x:formula1>
    </x:dataValidation>
    <x:dataValidation type="list" sqref="K2:K125">
      <x:formula1>"zh-native-01,zh-native-02,zh-localized-01,en-01"</x:formula1>
    </x:dataValidation>
    <x:dataValidation type="list" sqref="O2:O125">
      <x:formula1>"候选-待核验,已停用-待运营确认,已启用-人工低频,已启用-受限接口"</x:formula1>
    </x:dataValidation>
    <x:dataValidation type="list" sqref="S2:S125">
      <x:formula1>"V0,V1,V2,V3"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8ee83184ff45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62" hidden="0" customWidth="1"/>
    <x:col min="4" max="4" width="12" hidden="0" customWidth="1"/>
    <x:col min="5" max="5" width="12" hidden="0" customWidth="1"/>
    <x:col min="6" max="6" width="22" hidden="0" customWidth="1"/>
    <x:col min="7" max="7" width="48" hidden="0" customWidth="1"/>
    <x:col min="8" max="8" width="40" hidden="0" customWidth="1"/>
    <x:col min="9" max="9" width="22" hidden="0" customWidth="1"/>
    <x:col min="10" max="10" width="34" hidden="0" customWidth="1"/>
    <x:col min="11" max="11" width="20" hidden="0" customWidth="1"/>
    <x:col min="12" max="12" width="56" hidden="0" customWidth="1"/>
    <x:col min="13" max="13" width="14" hidden="0" customWidth="1"/>
    <x:col min="14" max="14" width="20" hidden="0" customWidth="1"/>
    <x:col min="15" max="15" width="16" hidden="0" customWidth="1"/>
    <x:col min="16" max="16" width="52" hidden="0" customWidth="1"/>
    <x:col min="17" max="17" width="54" hidden="0" customWidth="1"/>
  </x:cols>
  <x:sheetData>
    <x:row r="1" ht="34" customHeight="1">
      <x:c r="A1" s="37" t="str">
        <x:v>来源ID</x:v>
      </x:c>
      <x:c r="B1" s="38" t="str">
        <x:v>爬取网站</x:v>
      </x:c>
      <x:c r="C1" s="38" t="str">
        <x:v>入口URL</x:v>
      </x:c>
      <x:c r="D1" s="38" t="str">
        <x:v>地区</x:v>
      </x:c>
      <x:c r="E1" s="38" t="str">
        <x:v>来源语言</x:v>
      </x:c>
      <x:c r="F1" s="38" t="str">
        <x:v>来源类型</x:v>
      </x:c>
      <x:c r="G1" s="38" t="str">
        <x:v>覆盖侧重</x:v>
      </x:c>
      <x:c r="H1" s="38" t="str">
        <x:v>建议入口用法</x:v>
      </x:c>
      <x:c r="I1" s="38" t="str">
        <x:v>建议复查频率</x:v>
      </x:c>
      <x:c r="J1" s="38" t="str">
        <x:v>访问规则状态</x:v>
      </x:c>
      <x:c r="K1" s="38" t="str">
        <x:v>启用状态</x:v>
      </x:c>
      <x:c r="L1" s="38" t="str">
        <x:v>备注</x:v>
      </x:c>
      <x:c r="M1" s="38" t="str">
        <x:v>核验等级</x:v>
      </x:c>
      <x:c r="N1" s="38" t="str">
        <x:v>证据索引</x:v>
      </x:c>
      <x:c r="O1" s="38" t="str">
        <x:v>核验日期</x:v>
      </x:c>
      <x:c r="P1" s="38" t="str">
        <x:v>人工启动建议</x:v>
      </x:c>
      <x:c r="Q1" s="39" t="str">
        <x:v>核验结论</x:v>
      </x:c>
    </x:row>
    <x:row r="2">
      <x:c r="A2" s="40" t="str">
        <x:v>S01</x:v>
      </x:c>
      <x:c r="B2" s="40" t="str">
        <x:v>违法和不良信息举报中心（12377）</x:v>
      </x:c>
      <x:c r="C2" s="40" t="str">
        <x:v>https://www.12377.cn/jsal/list1.html</x:v>
      </x:c>
      <x:c r="D2" s="40" t="str">
        <x:v>CN</x:v>
      </x:c>
      <x:c r="E2" s="40" t="str">
        <x:v>zh</x:v>
      </x:c>
      <x:c r="F2" s="40" t="str">
        <x:v>官方处置案例</x:v>
      </x:c>
      <x:c r="G2" s="40" t="str">
        <x:v>网络违法和不良信息、网络谣言、网络暴力等公开处置案例</x:v>
      </x:c>
      <x:c r="H2" s="40" t="str">
        <x:v>栏目页分页 + 标题/正文主题词筛选</x:v>
      </x:c>
      <x:c r="I2" s="40" t="str">
        <x:v>每次手动运行前</x:v>
      </x:c>
      <x:c r="J2" s="40" t="str">
        <x:v>V0—未确认 robots/条款/API</x:v>
      </x:c>
      <x:c r="K2" s="40" t="str">
        <x:v>候选-待核验</x:v>
      </x:c>
      <x:c r="L2" s="40" t="str">
        <x:v>仅面向“警示案例”及公开文章页；不进入举报、评论或互动功能。</x:v>
      </x:c>
      <x:c r="M2" s="40" t="str">
        <x:v>V0</x:v>
      </x:c>
      <x:c r="N2" s="40" t="str">
        <x:v>EV-01</x:v>
      </x:c>
      <x:c r="O2" s="40" t="str">
        <x:v>2026-08-26</x:v>
      </x:c>
      <x:c r="P2" s="40" t="str">
        <x:v>禁止抓取；待人工补录与当前入口对应的条款、API 或书面许可后再复核。</x:v>
      </x:c>
      <x:c r="Q2" s="40" t="str">
        <x:v>robots 入口返回站点 404 HTML，不是 robots 规则；未取得适用条款/API 许可。</x:v>
      </x:c>
    </x:row>
    <x:row r="3">
      <x:c r="A3" s="41" t="str">
        <x:v>S02</x:v>
      </x:c>
      <x:c r="B3" s="41" t="str">
        <x:v>中国互联网联合辟谣平台</x:v>
      </x:c>
      <x:c r="C3" s="41" t="str">
        <x:v>https://www.piyao.org.cn/</x:v>
      </x:c>
      <x:c r="D3" s="41" t="str">
        <x:v>CN</x:v>
      </x:c>
      <x:c r="E3" s="41" t="str">
        <x:v>zh</x:v>
      </x:c>
      <x:c r="F3" s="41" t="str">
        <x:v>官方辟谣</x:v>
      </x:c>
      <x:c r="G3" s="41" t="str">
        <x:v>公共政策、社会民生、科学常识及网络谣言的查证信息</x:v>
      </x:c>
      <x:c r="H3" s="41" t="str">
        <x:v>首页/栏目页 + 日期范围 + 主题词筛选</x:v>
      </x:c>
      <x:c r="I3" s="41" t="str">
        <x:v>每次手动运行前</x:v>
      </x:c>
      <x:c r="J3" s="41" t="str">
        <x:v>V0—未确认 robots/条款/API</x:v>
      </x:c>
      <x:c r="K3" s="41" t="str">
        <x:v>候选-待核验</x:v>
      </x:c>
      <x:c r="L3" s="41" t="str">
        <x:v>优先抓取公开辟谣文章页；不采集社交账号内容。</x:v>
      </x:c>
      <x:c r="M3" s="41" t="str">
        <x:v>V0</x:v>
      </x:c>
      <x:c r="N3" s="41" t="str">
        <x:v>EV-02</x:v>
      </x:c>
      <x:c r="O3" s="41" t="str">
        <x:v>2026-08-26</x:v>
      </x:c>
      <x:c r="P3" s="41" t="str">
        <x:v>禁止抓取；待人工补录与当前入口对应的条款、API 或书面许可后再复核。</x:v>
      </x:c>
      <x:c r="Q3" s="41" t="str">
        <x:v>robots 入口返回站点 404 HTML，不是 robots 规则；未取得适用条款/API 许可。</x:v>
      </x:c>
    </x:row>
    <x:row r="4">
      <x:c r="A4" s="41" t="str">
        <x:v>S03</x:v>
      </x:c>
      <x:c r="B4" s="41" t="str">
        <x:v>国家互联网信息办公室</x:v>
      </x:c>
      <x:c r="C4" s="41" t="str">
        <x:v>https://www.cac.gov.cn/</x:v>
      </x:c>
      <x:c r="D4" s="41" t="str">
        <x:v>CN</x:v>
      </x:c>
      <x:c r="E4" s="41" t="str">
        <x:v>zh</x:v>
      </x:c>
      <x:c r="F4" s="41" t="str">
        <x:v>主管部门资讯</x:v>
      </x:c>
      <x:c r="G4" s="41" t="str">
        <x:v>网络内容治理、专项行动、公开通报与政策资讯</x:v>
      </x:c>
      <x:c r="H4" s="41" t="str">
        <x:v>专题/公开通报栏目 + 站内检索</x:v>
      </x:c>
      <x:c r="I4" s="41" t="str">
        <x:v>每次手动运行前</x:v>
      </x:c>
      <x:c r="J4" s="41" t="str">
        <x:v>V0—未确认 robots/条款/API</x:v>
      </x:c>
      <x:c r="K4" s="41" t="str">
        <x:v>候选-待核验</x:v>
      </x:c>
      <x:c r="L4" s="41" t="str">
        <x:v>仅将公开资讯作为治理场景线索，不把政策原文直接变成题目。</x:v>
      </x:c>
      <x:c r="M4" s="41" t="str">
        <x:v>V0</x:v>
      </x:c>
      <x:c r="N4" s="41" t="str">
        <x:v>EV-03, EV-16</x:v>
      </x:c>
      <x:c r="O4" s="41" t="str">
        <x:v>2026-08-26</x:v>
      </x:c>
      <x:c r="P4" s="41" t="str">
        <x:v>禁止抓取；待人工补录与当前入口对应的条款、API 或书面许可后再复核。</x:v>
      </x:c>
      <x:c r="Q4" s="41" t="str">
        <x:v>当前环境未取得 robots 正文；公开文章仅说明核验方法，不构成本站程序化访问许可。</x:v>
      </x:c>
    </x:row>
    <x:row r="5">
      <x:c r="A5" s="41" t="str">
        <x:v>S04</x:v>
      </x:c>
      <x:c r="B5" s="41" t="str">
        <x:v>国家卫生健康委健康科普辟谣平台</x:v>
      </x:c>
      <x:c r="C5" s="41" t="str">
        <x:v>https://www.nhc.gov.cn/kppypt/index.shtml</x:v>
      </x:c>
      <x:c r="D5" s="41" t="str">
        <x:v>CN</x:v>
      </x:c>
      <x:c r="E5" s="41" t="str">
        <x:v>zh</x:v>
      </x:c>
      <x:c r="F5" s="41" t="str">
        <x:v>官方健康辟谣</x:v>
      </x:c>
      <x:c r="G5" s="41" t="str">
        <x:v>健康谣言查证、科学常识、医疗健康信息可靠性</x:v>
      </x:c>
      <x:c r="H5" s="41" t="str">
        <x:v>站内检索 + 时间范围/领域筛选</x:v>
      </x:c>
      <x:c r="I5" s="41" t="str">
        <x:v>每次手动运行前</x:v>
      </x:c>
      <x:c r="J5" s="41" t="str">
        <x:v>V0—未确认 robots/条款/API</x:v>
      </x:c>
      <x:c r="K5" s="41" t="str">
        <x:v>候选-待核验</x:v>
      </x:c>
      <x:c r="L5" s="41" t="str">
        <x:v>用于准确性、可靠性和健康谣言场景；不采集问诊或个人健康信息。</x:v>
      </x:c>
      <x:c r="M5" s="41" t="str">
        <x:v>V0</x:v>
      </x:c>
      <x:c r="N5" s="41" t="str">
        <x:v>EV-04</x:v>
      </x:c>
      <x:c r="O5" s="41" t="str">
        <x:v>2026-08-26</x:v>
      </x:c>
      <x:c r="P5" s="41" t="str">
        <x:v>禁止抓取；待人工补录与当前入口对应的条款、API 或书面许可后再复核。</x:v>
      </x:c>
      <x:c r="Q5" s="41" t="str">
        <x:v>当前环境未取得 robots、条款或 API 许可证据。</x:v>
      </x:c>
    </x:row>
    <x:row r="6">
      <x:c r="A6" s="41" t="str">
        <x:v>S05</x:v>
      </x:c>
      <x:c r="B6" s="41" t="str">
        <x:v>国家市场监督管理总局</x:v>
      </x:c>
      <x:c r="C6" s="41" t="str">
        <x:v>https://www.samr.gov.cn/</x:v>
      </x:c>
      <x:c r="D6" s="41" t="str">
        <x:v>CN</x:v>
      </x:c>
      <x:c r="E6" s="41" t="str">
        <x:v>zh</x:v>
      </x:c>
      <x:c r="F6" s="41" t="str">
        <x:v>官方监管案例</x:v>
      </x:c>
      <x:c r="G6" s="41" t="str">
        <x:v>反不正当竞争、反垄断、商业秘密、网络经营与消费市场监管案例</x:v>
      </x:c>
      <x:c r="H6" s="41" t="str">
        <x:v>新闻/案例栏目 + 站内检索</x:v>
      </x:c>
      <x:c r="I6" s="41" t="str">
        <x:v>每次手动运行前</x:v>
      </x:c>
      <x:c r="J6" s="41" t="str">
        <x:v>V0—未确认 robots/条款/API</x:v>
      </x:c>
      <x:c r="K6" s="41" t="str">
        <x:v>候选-待核验</x:v>
      </x:c>
      <x:c r="L6" s="41" t="str">
        <x:v>优先公开典型案例与监管通报；不采集执法办事表单。</x:v>
      </x:c>
      <x:c r="M6" s="41" t="str">
        <x:v>V0</x:v>
      </x:c>
      <x:c r="N6" s="41" t="str">
        <x:v>EV-05</x:v>
      </x:c>
      <x:c r="O6" s="41" t="str">
        <x:v>2026-08-26</x:v>
      </x:c>
      <x:c r="P6" s="41" t="str">
        <x:v>禁止抓取；待人工补录与当前入口对应的条款、API 或书面许可后再复核。</x:v>
      </x:c>
      <x:c r="Q6" s="41" t="str">
        <x:v>当前环境未取得公开新闻/案例入口的 robots、条款或 API 许可。</x:v>
      </x:c>
    </x:row>
    <x:row r="7">
      <x:c r="A7" s="41" t="str">
        <x:v>S06</x:v>
      </x:c>
      <x:c r="B7" s="41" t="str">
        <x:v>国家知识产权局案例发布</x:v>
      </x:c>
      <x:c r="C7" s="41" t="str">
        <x:v>https://www.cnipa.gov.cn/col/col3668/index.html</x:v>
      </x:c>
      <x:c r="D7" s="41" t="str">
        <x:v>CN</x:v>
      </x:c>
      <x:c r="E7" s="41" t="str">
        <x:v>zh</x:v>
      </x:c>
      <x:c r="F7" s="41" t="str">
        <x:v>官方知识产权案例</x:v>
      </x:c>
      <x:c r="G7" s="41" t="str">
        <x:v>知识产权行政保护、商标、专利、版权与商业秘密相关案例</x:v>
      </x:c>
      <x:c r="H7" s="41" t="str">
        <x:v>案例发布栏目 + 分类/站内检索</x:v>
      </x:c>
      <x:c r="I7" s="41" t="str">
        <x:v>每次手动运行前</x:v>
      </x:c>
      <x:c r="J7" s="41" t="str">
        <x:v>V0—未确认 robots/条款/API</x:v>
      </x:c>
      <x:c r="K7" s="41" t="str">
        <x:v>候选-待核验</x:v>
      </x:c>
      <x:c r="L7" s="41" t="str">
        <x:v>优先已公开案例页；不下载或收录受版权限制的全文材料。</x:v>
      </x:c>
      <x:c r="M7" s="41" t="str">
        <x:v>V0</x:v>
      </x:c>
      <x:c r="N7" s="41" t="str">
        <x:v>EV-06</x:v>
      </x:c>
      <x:c r="O7" s="41" t="str">
        <x:v>2026-08-26</x:v>
      </x:c>
      <x:c r="P7" s="41" t="str">
        <x:v>禁止抓取；待人工补录与当前入口对应的条款、API 或书面许可后再复核。</x:v>
      </x:c>
      <x:c r="Q7" s="41" t="str">
        <x:v>已定位的业务系统协议不适用于案例发布栏目，且不构成案例页程序化采集许可。</x:v>
      </x:c>
    </x:row>
    <x:row r="8">
      <x:c r="A8" s="41" t="str">
        <x:v>S07</x:v>
      </x:c>
      <x:c r="B8" s="41" t="str">
        <x:v>最高人民法院</x:v>
      </x:c>
      <x:c r="C8" s="41" t="str">
        <x:v>https://www.court.gov.cn/</x:v>
      </x:c>
      <x:c r="D8" s="41" t="str">
        <x:v>CN</x:v>
      </x:c>
      <x:c r="E8" s="41" t="str">
        <x:v>zh</x:v>
      </x:c>
      <x:c r="F8" s="41" t="str">
        <x:v>官方司法案例</x:v>
      </x:c>
      <x:c r="G8" s="41" t="str">
        <x:v>人格权、肖像、名誉、隐私、个人信息及网络侵权公开案例</x:v>
      </x:c>
      <x:c r="H8" s="41" t="str">
        <x:v>案例/新闻栏目 + 站内检索</x:v>
      </x:c>
      <x:c r="I8" s="41" t="str">
        <x:v>每次手动运行前</x:v>
      </x:c>
      <x:c r="J8" s="41" t="str">
        <x:v>V0—未确认 robots/条款/API</x:v>
      </x:c>
      <x:c r="K8" s="41" t="str">
        <x:v>候选-待核验</x:v>
      </x:c>
      <x:c r="L8" s="41" t="str">
        <x:v>仅使用公开裁判案例摘要形成去标识化场景，不保留当事人身份信息。</x:v>
      </x:c>
      <x:c r="M8" s="41" t="str">
        <x:v>V0</x:v>
      </x:c>
      <x:c r="N8" s="41" t="str">
        <x:v>EV-07</x:v>
      </x:c>
      <x:c r="O8" s="41" t="str">
        <x:v>2026-08-26</x:v>
      </x:c>
      <x:c r="P8" s="41" t="str">
        <x:v>禁止抓取；待人工补录与当前入口对应的条款、API 或书面许可后再复核。</x:v>
      </x:c>
      <x:c r="Q8" s="41" t="str">
        <x:v>已定位的诉讼服务协议不适用于公开案例/新闻栏目，未取得当前入口许可。</x:v>
      </x:c>
    </x:row>
    <x:row r="9">
      <x:c r="A9" s="41" t="str">
        <x:v>S08</x:v>
      </x:c>
      <x:c r="B9" s="41" t="str">
        <x:v>最高人民检察院</x:v>
      </x:c>
      <x:c r="C9" s="41" t="str">
        <x:v>https://www.spp.gov.cn/</x:v>
      </x:c>
      <x:c r="D9" s="41" t="str">
        <x:v>CN</x:v>
      </x:c>
      <x:c r="E9" s="41" t="str">
        <x:v>zh</x:v>
      </x:c>
      <x:c r="F9" s="41" t="str">
        <x:v>官方检察案例</x:v>
      </x:c>
      <x:c r="G9" s="41" t="str">
        <x:v>个人信息保护、网络犯罪与公益诉讼公开典型案例</x:v>
      </x:c>
      <x:c r="H9" s="41" t="str">
        <x:v>典型案例栏目 + 站内检索</x:v>
      </x:c>
      <x:c r="I9" s="41" t="str">
        <x:v>每次手动运行前</x:v>
      </x:c>
      <x:c r="J9" s="41" t="str">
        <x:v>V0—未确认 robots/条款/API</x:v>
      </x:c>
      <x:c r="K9" s="41" t="str">
        <x:v>候选-待核验</x:v>
      </x:c>
      <x:c r="L9" s="41" t="str">
        <x:v>仅使用公开案例的抽象事实；不得提取个人身份、账号或联系方式。</x:v>
      </x:c>
      <x:c r="M9" s="41" t="str">
        <x:v>V0</x:v>
      </x:c>
      <x:c r="N9" s="41" t="str">
        <x:v>EV-08</x:v>
      </x:c>
      <x:c r="O9" s="41" t="str">
        <x:v>2026-08-26</x:v>
      </x:c>
      <x:c r="P9" s="41" t="str">
        <x:v>禁止抓取；待人工补录与当前入口对应的条款、API 或书面许可后再复核。</x:v>
      </x:c>
      <x:c r="Q9" s="41" t="str">
        <x:v>当前环境未取得公开典型案例入口的 robots、条款或 API 许可。</x:v>
      </x:c>
    </x:row>
    <x:row r="10">
      <x:c r="A10" s="41" t="str">
        <x:v>S09</x:v>
      </x:c>
      <x:c r="B10" s="41" t="str">
        <x:v>UNESCO — Countering Hate Speech</x:v>
      </x:c>
      <x:c r="C10" s="41" t="str">
        <x:v>https://www.unesco.org/en/tags/countering-hate-speech</x:v>
      </x:c>
      <x:c r="D10" s="41" t="str">
        <x:v>overseas</x:v>
      </x:c>
      <x:c r="E10" s="41" t="str">
        <x:v>en</x:v>
      </x:c>
      <x:c r="F10" s="41" t="str">
        <x:v>国际组织专题</x:v>
      </x:c>
      <x:c r="G10" s="41" t="str">
        <x:v>hate speech、discrimination、misinformation 与线上有害内容治理</x:v>
      </x:c>
      <x:c r="H10" s="41" t="str">
        <x:v>专题页 + 日期筛选 + 主题词筛选</x:v>
      </x:c>
      <x:c r="I10" s="41" t="str">
        <x:v>每次手动运行前</x:v>
      </x:c>
      <x:c r="J10" s="41" t="str">
        <x:v>V0—未确认 robots/条款/API</x:v>
      </x:c>
      <x:c r="K10" s="41" t="str">
        <x:v>候选-待核验</x:v>
      </x:c>
      <x:c r="L10" s="41" t="str">
        <x:v>仅提取公开资讯或教育材料的抽象场景；避免将原文观点直接复述为测试请求。</x:v>
      </x:c>
      <x:c r="M10" s="41" t="str">
        <x:v>V0</x:v>
      </x:c>
      <x:c r="N10" s="41" t="str">
        <x:v>EV-09</x:v>
      </x:c>
      <x:c r="O10" s="41" t="str">
        <x:v>2026-08-26</x:v>
      </x:c>
      <x:c r="P10" s="41" t="str">
        <x:v>禁止抓取；待人工补录与当前入口对应的条款、API 或书面许可后再复核。</x:v>
      </x:c>
      <x:c r="Q10" s="41" t="str">
        <x:v>开放词表/API 的许可不适用于 Countering Hate Speech 专题文章入口。</x:v>
      </x:c>
    </x:row>
    <x:row r="11">
      <x:c r="A11" s="41" t="str">
        <x:v>S10</x:v>
      </x:c>
      <x:c r="B11" s="41" t="str">
        <x:v>U.S. FTC — Privacy and Security Enforcement</x:v>
      </x:c>
      <x:c r="C11" s="41" t="str">
        <x:v>https://www.ftc.gov/news-events/topics/protecting-consumer-privacy-security/privacy-security-enforcement</x:v>
      </x:c>
      <x:c r="D11" s="41" t="str">
        <x:v>overseas</x:v>
      </x:c>
      <x:c r="E11" s="41" t="str">
        <x:v>en</x:v>
      </x:c>
      <x:c r="F11" s="41" t="str">
        <x:v>监管执法案例</x:v>
      </x:c>
      <x:c r="G11" s="41" t="str">
        <x:v>consumer privacy、data security、deceptive practices 与个人信息权益</x:v>
      </x:c>
      <x:c r="H11" s="41" t="str">
        <x:v>执法案例列表 + 日期筛选</x:v>
      </x:c>
      <x:c r="I11" s="41" t="str">
        <x:v>每次手动运行前</x:v>
      </x:c>
      <x:c r="J11" s="41" t="str">
        <x:v>V0—未确认 robots/条款/API</x:v>
      </x:c>
      <x:c r="K11" s="41" t="str">
        <x:v>候选-待核验</x:v>
      </x:c>
      <x:c r="L11" s="41" t="str">
        <x:v>用于隐私、个人信息与商业行为场景；只采集公开案件摘要。</x:v>
      </x:c>
      <x:c r="M11" s="41" t="str">
        <x:v>V0</x:v>
      </x:c>
      <x:c r="N11" s="41" t="str">
        <x:v>EV-10</x:v>
      </x:c>
      <x:c r="O11" s="41" t="str">
        <x:v>2026-08-26</x:v>
      </x:c>
      <x:c r="P11" s="41" t="str">
        <x:v>禁止抓取；待人工补录与当前入口对应的条款、API 或书面许可后再复核。</x:v>
      </x:c>
      <x:c r="Q11" s="41" t="str">
        <x:v>FTC 已公开的 API 不对应隐私执法文章列表；未取得当前入口许可。</x:v>
      </x:c>
    </x:row>
    <x:row r="12">
      <x:c r="A12" s="41" t="str">
        <x:v>S11</x:v>
      </x:c>
      <x:c r="B12" s="41" t="str">
        <x:v>WIPO — Intellectual Property Enforcement</x:v>
      </x:c>
      <x:c r="C12" s="41" t="str">
        <x:v>https://www.wipo.int/en/web/ip-enforcement</x:v>
      </x:c>
      <x:c r="D12" s="41" t="str">
        <x:v>overseas</x:v>
      </x:c>
      <x:c r="E12" s="41" t="str">
        <x:v>en</x:v>
      </x:c>
      <x:c r="F12" s="41" t="str">
        <x:v>国际组织专题</x:v>
      </x:c>
      <x:c r="G12" s="41" t="str">
        <x:v>IP enforcement、copyright、trademark、patent 与 trade secrets</x:v>
      </x:c>
      <x:c r="H12" s="41" t="str">
        <x:v>专题页/公开材料索引 + 主题词筛选</x:v>
      </x:c>
      <x:c r="I12" s="41" t="str">
        <x:v>每次手动运行前</x:v>
      </x:c>
      <x:c r="J12" s="41" t="str">
        <x:v>V0—未确认 robots/条款/API</x:v>
      </x:c>
      <x:c r="K12" s="41" t="str">
        <x:v>候选-待核验</x:v>
      </x:c>
      <x:c r="L12" s="41" t="str">
        <x:v>用于知识产权和商业秘密风险的英文场景；不下载受限案例材料。</x:v>
      </x:c>
      <x:c r="M12" s="41" t="str">
        <x:v>V0</x:v>
      </x:c>
      <x:c r="N12" s="41" t="str">
        <x:v>EV-11</x:v>
      </x:c>
      <x:c r="O12" s="41" t="str">
        <x:v>2026-08-26</x:v>
      </x:c>
      <x:c r="P12" s="41" t="str">
        <x:v>禁止抓取；待人工补录与当前入口对应的条款、API 或书面许可后再复核。</x:v>
      </x:c>
      <x:c r="Q12" s="41" t="str">
        <x:v>WIPO Pearl/API 的许可不适用于 IP Enforcement 专题入口，且独立条款禁止该服务的网页抓取。</x:v>
      </x:c>
    </x:row>
    <x:row r="13">
      <x:c r="A13" s="41" t="str">
        <x:v>S12</x:v>
      </x:c>
      <x:c r="B13" s="41" t="str">
        <x:v>European Commission — Antitrust and Cartel Case Open Data</x:v>
      </x:c>
      <x:c r="C13" s="41" t="str">
        <x:v>https://data.europa.eu/data/datasets/18489cb7-bce7-4d44-a138-795b390d2109~~1?locale=en</x:v>
      </x:c>
      <x:c r="D13" s="41" t="str">
        <x:v>overseas</x:v>
      </x:c>
      <x:c r="E13" s="41" t="str">
        <x:v>en</x:v>
      </x:c>
      <x:c r="F13" s="41" t="str">
        <x:v>官方开放数据集</x:v>
      </x:c>
      <x:c r="G13" s="41" t="str">
        <x:v>EU antitrust and cartel case metadata、competition enforcement 与公开案件信息</x:v>
      </x:c>
      <x:c r="H13" s="41" t="str">
        <x:v>官方 JSON 分发 + 限定字段筛选（案件元数据）</x:v>
      </x:c>
      <x:c r="I13" s="41" t="str">
        <x:v>每次手动运行前；优先差分</x:v>
      </x:c>
      <x:c r="J13" s="41" t="str">
        <x:v>V3—官方开放数据集；仅 JSON 分发</x:v>
      </x:c>
      <x:c r="K13" s="41" t="str">
        <x:v>已启用-受限接口</x:v>
      </x:c>
      <x:c r="L13" s="41" t="str">
        <x:v>仅访问数据集 JSON 分发；不抓取关联决定文书、附件或整站页面；输出须保留来源归因。</x:v>
      </x:c>
      <x:c r="M13" s="41" t="str">
        <x:v>V3</x:v>
      </x:c>
      <x:c r="N13" s="41" t="str">
        <x:v>EV-12, EV-17, EV-18</x:v>
      </x:c>
      <x:c r="O13" s="41" t="str">
        <x:v>2026-08-26</x:v>
      </x:c>
      <x:c r="P13" s="41" t="str">
        <x:v>仅人工启动；只读取官方 JSON 分发的案件元数据，优先差分，每次最多一次全量请求并保留来源归因。</x:v>
      </x:c>
      <x:c r="Q13" s="41" t="str">
        <x:v>官方数据集为公共访问；仅限案件元数据，禁止抓取关联决定文书、附件或整站页面。</x:v>
      </x:c>
    </x:row>
    <x:row r="14">
      <x:c r="A14" s="41" t="str">
        <x:v>S13</x:v>
      </x:c>
      <x:c r="B14" s="41" t="str">
        <x:v>World Health Organization — Disinformation and public health</x:v>
      </x:c>
      <x:c r="C14" s="41" t="str">
        <x:v>https://www.who.int/news-room/questions-and-answers/item/disinformation-and-public-health</x:v>
      </x:c>
      <x:c r="D14" s="41" t="str">
        <x:v>overseas</x:v>
      </x:c>
      <x:c r="E14" s="41" t="str">
        <x:v>en</x:v>
      </x:c>
      <x:c r="F14" s="41" t="str">
        <x:v>国际组织科普</x:v>
      </x:c>
      <x:c r="G14" s="41" t="str">
        <x:v>health misinformation、disinformation、evidence-based information 与可靠性</x:v>
      </x:c>
      <x:c r="H14" s="41" t="str">
        <x:v>专题/问答页 + 相关公开链接筛选</x:v>
      </x:c>
      <x:c r="I14" s="41" t="str">
        <x:v>每次手动运行前</x:v>
      </x:c>
      <x:c r="J14" s="41" t="str">
        <x:v>V0—未确认 robots/条款/API</x:v>
      </x:c>
      <x:c r="K14" s="41" t="str">
        <x:v>候选-待核验</x:v>
      </x:c>
      <x:c r="L14" s="41" t="str">
        <x:v>用于健康与科学可靠性场景；仅提取公共健康层面的抽象信息。</x:v>
      </x:c>
      <x:c r="M14" s="41" t="str">
        <x:v>V0</x:v>
      </x:c>
      <x:c r="N14" s="41" t="str">
        <x:v>EV-13</x:v>
      </x:c>
      <x:c r="O14" s="41" t="str">
        <x:v>2026-08-26</x:v>
      </x:c>
      <x:c r="P14" s="41" t="str">
        <x:v>禁止抓取；待人工补录与当前入口对应的条款、API 或书面许可后再复核。</x:v>
      </x:c>
      <x:c r="Q14" s="41" t="str">
        <x:v>WHO 的其他 API/许可不适用于公共健康错误信息问答页，未取得当前入口许可。</x:v>
      </x:c>
    </x:row>
    <x:row r="15">
      <x:c r="A15" s="41" t="str">
        <x:v>S14</x:v>
      </x:c>
      <x:c r="B15" s="41" t="str">
        <x:v>UK ICO — Action we've taken</x:v>
      </x:c>
      <x:c r="C15" s="41" t="str">
        <x:v>https://ico.org.uk/action-weve-taken/</x:v>
      </x:c>
      <x:c r="D15" s="41" t="str">
        <x:v>overseas</x:v>
      </x:c>
      <x:c r="E15" s="41" t="str">
        <x:v>en</x:v>
      </x:c>
      <x:c r="F15" s="41" t="str">
        <x:v>监管执法案例</x:v>
      </x:c>
      <x:c r="G15" s="41" t="str">
        <x:v>information rights、privacy、data protection 与 enforcement action</x:v>
      </x:c>
      <x:c r="H15" s="41" t="str">
        <x:v>执法行动页 + 分类/日期筛选</x:v>
      </x:c>
      <x:c r="I15" s="41" t="str">
        <x:v>每次手动运行前</x:v>
      </x:c>
      <x:c r="J15" s="41" t="str">
        <x:v>V0—未确认 robots/条款/API</x:v>
      </x:c>
      <x:c r="K15" s="41" t="str">
        <x:v>候选-待核验</x:v>
      </x:c>
      <x:c r="L15" s="41" t="str">
        <x:v>只使用公开执法信息；不采集投诉表单、个人申请或账户内容。</x:v>
      </x:c>
      <x:c r="M15" s="41" t="str">
        <x:v>V0</x:v>
      </x:c>
      <x:c r="N15" s="41" t="str">
        <x:v>EV-14</x:v>
      </x:c>
      <x:c r="O15" s="41" t="str">
        <x:v>2026-08-26</x:v>
      </x:c>
      <x:c r="P15" s="41" t="str">
        <x:v>禁止抓取；待人工补录与当前入口对应的条款、API 或书面许可后再复核。</x:v>
      </x:c>
      <x:c r="Q15" s="41" t="str">
        <x:v>当前环境未取得执法行动页的 robots、条款或开放 API 许可。</x:v>
      </x:c>
    </x:row>
    <x:row r="16">
      <x:c r="A16" s="42" t="str">
        <x:v>S15</x:v>
      </x:c>
      <x:c r="B16" s="42" t="str">
        <x:v>U.S. FTC — Mergers and Competition</x:v>
      </x:c>
      <x:c r="C16" s="42" t="str">
        <x:v>https://www.ftc.gov/news-events/topics/competition-enforcement</x:v>
      </x:c>
      <x:c r="D16" s="42" t="str">
        <x:v>overseas</x:v>
      </x:c>
      <x:c r="E16" s="42" t="str">
        <x:v>en</x:v>
      </x:c>
      <x:c r="F16" s="42" t="str">
        <x:v>监管竞争资讯</x:v>
      </x:c>
      <x:c r="G16" s="42" t="str">
        <x:v>competition、mergers、anticompetitive business practices 与消费者保护</x:v>
      </x:c>
      <x:c r="H16" s="42" t="str">
        <x:v>专题页 + 公开新闻/案件链接筛选</x:v>
      </x:c>
      <x:c r="I16" s="42" t="str">
        <x:v>每次手动运行前</x:v>
      </x:c>
      <x:c r="J16" s="42" t="str">
        <x:v>V0—未确认 robots/条款/API</x:v>
      </x:c>
      <x:c r="K16" s="42" t="str">
        <x:v>候选-待核验</x:v>
      </x:c>
      <x:c r="L16" s="42" t="str">
        <x:v>用于商业道德、公平竞争与平台竞争场景；只采集公开摘要。</x:v>
      </x:c>
      <x:c r="M16" s="42" t="str">
        <x:v>V0</x:v>
      </x:c>
      <x:c r="N16" s="42" t="str">
        <x:v>EV-15</x:v>
      </x:c>
      <x:c r="O16" s="42" t="str">
        <x:v>2026-08-26</x:v>
      </x:c>
      <x:c r="P16" s="42" t="str">
        <x:v>禁止抓取；待人工补录与当前入口对应的条款、API 或书面许可后再复核。</x:v>
      </x:c>
      <x:c r="Q16" s="42" t="str">
        <x:v>FTC 已公开的 API 不对应竞争执法文章列表；未取得当前入口许可。</x:v>
      </x:c>
    </x:row>
  </x:sheetData>
  <x:conditionalFormatting sqref="K2:K16">
    <x:cfRule type="containsText" dxfId="4" priority="1" operator="containsText" text="候选-待核验"/>
    <x:cfRule type="containsText" dxfId="5" priority="2" operator="containsText" text="已启用"/>
  </x:conditionalFormatting>
  <x:dataValidations count="4">
    <x:dataValidation type="list" sqref="D2:D16">
      <x:formula1>"CN,overseas"</x:formula1>
    </x:dataValidation>
    <x:dataValidation type="list" sqref="E2:E16">
      <x:formula1>"zh,en"</x:formula1>
    </x:dataValidation>
    <x:dataValidation type="list" sqref="K2:K16">
      <x:formula1>"候选-待核验,已停用-待运营确认,已启用-人工低频,已启用-受限接口"</x:formula1>
    </x:dataValidation>
    <x:dataValidation type="list" sqref="M2:M16">
      <x:formula1>"V0,V1,V2,V3"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f55321182c4c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48" hidden="0" customWidth="1"/>
    <x:col min="5" max="5" width="18" hidden="0" customWidth="1"/>
    <x:col min="6" max="6" width="18" hidden="0" customWidth="1"/>
    <x:col min="7" max="7" width="22" hidden="0" customWidth="1"/>
    <x:col min="8" max="8" width="50" hidden="0" customWidth="1"/>
  </x:cols>
  <x:sheetData>
    <x:row r="1" ht="34" customHeight="1">
      <x:c r="A1" s="37" t="str">
        <x:v>风险ID</x:v>
      </x:c>
      <x:c r="B1" s="38" t="str">
        <x:v>场景代码</x:v>
      </x:c>
      <x:c r="C1" s="38" t="str">
        <x:v>场景</x:v>
      </x:c>
      <x:c r="D1" s="38" t="str">
        <x:v>类别</x:v>
      </x:c>
      <x:c r="E1" s="38" t="str">
        <x:v>中文输出路由</x:v>
      </x:c>
      <x:c r="F1" s="38" t="str">
        <x:v>英文输出路由</x:v>
      </x:c>
      <x:c r="G1" s="38" t="str">
        <x:v>网页来源路由总数</x:v>
      </x:c>
      <x:c r="H1" s="39" t="str">
        <x:v>说明</x:v>
      </x:c>
    </x:row>
    <x:row r="2">
      <x:c r="A2" s="40" t="str">
        <x:v>A1-01</x:v>
      </x:c>
      <x:c r="B2" s="40" t="str">
        <x:v>A.1</x:v>
      </x:c>
      <x:c r="C2" s="40" t="str">
        <x:v>违反社会主义核心价值观的内容</x:v>
      </x:c>
      <x:c r="D2" s="40" t="str">
        <x:v>煽动颠覆国家政权、推翻社会主义制度</x:v>
      </x:c>
      <x:c r="E2" s="40" t="n">
        <x:f>COUNTIFS('来源路由'!$B$2:$B$500,A2,'来源路由'!$J$2:$J$500,"zh")</x:f>
        <x:v>3</x:v>
      </x:c>
      <x:c r="F2" s="40" t="n">
        <x:f>COUNTIFS('来源路由'!$B$2:$B$500,A2,'来源路由'!$J$2:$J$500,"en")</x:f>
        <x:v>1</x:v>
      </x:c>
      <x:c r="G2" s="40" t="n">
        <x:f>E2+F2</x:f>
        <x:v>4</x:v>
      </x:c>
      <x:c r="H2" s="40" t="str">
        <x:v>zh-variant-01 为父场景的中文表达变体，不单独配置网页抓取路由。</x:v>
      </x:c>
    </x:row>
    <x:row r="3">
      <x:c r="A3" s="41" t="str">
        <x:v>A1-02</x:v>
      </x:c>
      <x:c r="B3" s="41" t="str">
        <x:v>A.1</x:v>
      </x:c>
      <x:c r="C3" s="41" t="str">
        <x:v>违反社会主义核心价值观的内容</x:v>
      </x:c>
      <x:c r="D3" s="41" t="str">
        <x:v>危害国家安全和利益、损害国家形象</x:v>
      </x:c>
      <x:c r="E3" s="41" t="n">
        <x:f>COUNTIFS('来源路由'!$B$2:$B$500,A3,'来源路由'!$J$2:$J$500,"zh")</x:f>
        <x:v>3</x:v>
      </x:c>
      <x:c r="F3" s="41" t="n">
        <x:f>COUNTIFS('来源路由'!$B$2:$B$500,A3,'来源路由'!$J$2:$J$500,"en")</x:f>
        <x:v>1</x:v>
      </x:c>
      <x:c r="G3" s="41" t="n">
        <x:f>E3+F3</x:f>
        <x:v>4</x:v>
      </x:c>
      <x:c r="H3" s="41" t="str">
        <x:v>zh-variant-01 为父场景的中文表达变体，不单独配置网页抓取路由。</x:v>
      </x:c>
    </x:row>
    <x:row r="4">
      <x:c r="A4" s="41" t="str">
        <x:v>A1-03</x:v>
      </x:c>
      <x:c r="B4" s="41" t="str">
        <x:v>A.1</x:v>
      </x:c>
      <x:c r="C4" s="41" t="str">
        <x:v>违反社会主义核心价值观的内容</x:v>
      </x:c>
      <x:c r="D4" s="41" t="str">
        <x:v>煽动分裂国家、破坏国家统一和社会稳定</x:v>
      </x:c>
      <x:c r="E4" s="41" t="n">
        <x:f>COUNTIFS('来源路由'!$B$2:$B$500,A4,'来源路由'!$J$2:$J$500,"zh")</x:f>
        <x:v>3</x:v>
      </x:c>
      <x:c r="F4" s="41" t="n">
        <x:f>COUNTIFS('来源路由'!$B$2:$B$500,A4,'来源路由'!$J$2:$J$500,"en")</x:f>
        <x:v>1</x:v>
      </x:c>
      <x:c r="G4" s="41" t="n">
        <x:f>E4+F4</x:f>
        <x:v>4</x:v>
      </x:c>
      <x:c r="H4" s="41" t="str">
        <x:v>zh-variant-01 为父场景的中文表达变体，不单独配置网页抓取路由。</x:v>
      </x:c>
    </x:row>
    <x:row r="5">
      <x:c r="A5" s="41" t="str">
        <x:v>A1-04</x:v>
      </x:c>
      <x:c r="B5" s="41" t="str">
        <x:v>A.1</x:v>
      </x:c>
      <x:c r="C5" s="41" t="str">
        <x:v>违反社会主义核心价值观的内容</x:v>
      </x:c>
      <x:c r="D5" s="41" t="str">
        <x:v>宣扬恐怖主义、极端主义</x:v>
      </x:c>
      <x:c r="E5" s="41" t="n">
        <x:f>COUNTIFS('来源路由'!$B$2:$B$500,A5,'来源路由'!$J$2:$J$500,"zh")</x:f>
        <x:v>3</x:v>
      </x:c>
      <x:c r="F5" s="41" t="n">
        <x:f>COUNTIFS('来源路由'!$B$2:$B$500,A5,'来源路由'!$J$2:$J$500,"en")</x:f>
        <x:v>1</x:v>
      </x:c>
      <x:c r="G5" s="41" t="n">
        <x:f>E5+F5</x:f>
        <x:v>4</x:v>
      </x:c>
      <x:c r="H5" s="41" t="str">
        <x:v>zh-variant-01 为父场景的中文表达变体，不单独配置网页抓取路由。</x:v>
      </x:c>
    </x:row>
    <x:row r="6">
      <x:c r="A6" s="41" t="str">
        <x:v>A1-05</x:v>
      </x:c>
      <x:c r="B6" s="41" t="str">
        <x:v>A.1</x:v>
      </x:c>
      <x:c r="C6" s="41" t="str">
        <x:v>违反社会主义核心价值观的内容</x:v>
      </x:c>
      <x:c r="D6" s="41" t="str">
        <x:v>宣扬民族仇恨</x:v>
      </x:c>
      <x:c r="E6" s="41" t="n">
        <x:f>COUNTIFS('来源路由'!$B$2:$B$500,A6,'来源路由'!$J$2:$J$500,"zh")</x:f>
        <x:v>3</x:v>
      </x:c>
      <x:c r="F6" s="41" t="n">
        <x:f>COUNTIFS('来源路由'!$B$2:$B$500,A6,'来源路由'!$J$2:$J$500,"en")</x:f>
        <x:v>1</x:v>
      </x:c>
      <x:c r="G6" s="41" t="n">
        <x:f>E6+F6</x:f>
        <x:v>4</x:v>
      </x:c>
      <x:c r="H6" s="41" t="str">
        <x:v>zh-variant-01 为父场景的中文表达变体，不单独配置网页抓取路由。</x:v>
      </x:c>
    </x:row>
    <x:row r="7">
      <x:c r="A7" s="41" t="str">
        <x:v>A1-06</x:v>
      </x:c>
      <x:c r="B7" s="41" t="str">
        <x:v>A.1</x:v>
      </x:c>
      <x:c r="C7" s="41" t="str">
        <x:v>违反社会主义核心价值观的内容</x:v>
      </x:c>
      <x:c r="D7" s="41" t="str">
        <x:v>宣扬暴力、淫秽色情</x:v>
      </x:c>
      <x:c r="E7" s="41" t="n">
        <x:f>COUNTIFS('来源路由'!$B$2:$B$500,A7,'来源路由'!$J$2:$J$500,"zh")</x:f>
        <x:v>3</x:v>
      </x:c>
      <x:c r="F7" s="41" t="n">
        <x:f>COUNTIFS('来源路由'!$B$2:$B$500,A7,'来源路由'!$J$2:$J$500,"en")</x:f>
        <x:v>1</x:v>
      </x:c>
      <x:c r="G7" s="41" t="n">
        <x:f>E7+F7</x:f>
        <x:v>4</x:v>
      </x:c>
      <x:c r="H7" s="41" t="str">
        <x:v>zh-variant-01 为父场景的中文表达变体，不单独配置网页抓取路由。</x:v>
      </x:c>
    </x:row>
    <x:row r="8">
      <x:c r="A8" s="41" t="str">
        <x:v>A1-07</x:v>
      </x:c>
      <x:c r="B8" s="41" t="str">
        <x:v>A.1</x:v>
      </x:c>
      <x:c r="C8" s="41" t="str">
        <x:v>违反社会主义核心价值观的内容</x:v>
      </x:c>
      <x:c r="D8" s="41" t="str">
        <x:v>传播虚假有害信息</x:v>
      </x:c>
      <x:c r="E8" s="41" t="n">
        <x:f>COUNTIFS('来源路由'!$B$2:$B$500,A8,'来源路由'!$J$2:$J$500,"zh")</x:f>
        <x:v>3</x:v>
      </x:c>
      <x:c r="F8" s="41" t="n">
        <x:f>COUNTIFS('来源路由'!$B$2:$B$500,A8,'来源路由'!$J$2:$J$500,"en")</x:f>
        <x:v>1</x:v>
      </x:c>
      <x:c r="G8" s="41" t="n">
        <x:f>E8+F8</x:f>
        <x:v>4</x:v>
      </x:c>
      <x:c r="H8" s="41" t="str">
        <x:v>zh-variant-01 为父场景的中文表达变体，不单独配置网页抓取路由。</x:v>
      </x:c>
    </x:row>
    <x:row r="9">
      <x:c r="A9" s="41" t="str">
        <x:v>A1-08</x:v>
      </x:c>
      <x:c r="B9" s="41" t="str">
        <x:v>A.1</x:v>
      </x:c>
      <x:c r="C9" s="41" t="str">
        <x:v>违反社会主义核心价值观的内容</x:v>
      </x:c>
      <x:c r="D9" s="41" t="str">
        <x:v>其他法律、行政法规禁止的内容</x:v>
      </x:c>
      <x:c r="E9" s="41" t="n">
        <x:f>COUNTIFS('来源路由'!$B$2:$B$500,A9,'来源路由'!$J$2:$J$500,"zh")</x:f>
        <x:v>3</x:v>
      </x:c>
      <x:c r="F9" s="41" t="n">
        <x:f>COUNTIFS('来源路由'!$B$2:$B$500,A9,'来源路由'!$J$2:$J$500,"en")</x:f>
        <x:v>1</x:v>
      </x:c>
      <x:c r="G9" s="41" t="n">
        <x:f>E9+F9</x:f>
        <x:v>4</x:v>
      </x:c>
      <x:c r="H9" s="41" t="str">
        <x:v>zh-variant-01 为父场景的中文表达变体，不单独配置网页抓取路由。</x:v>
      </x:c>
    </x:row>
    <x:row r="10">
      <x:c r="A10" s="41" t="str">
        <x:v>A2-01</x:v>
      </x:c>
      <x:c r="B10" s="41" t="str">
        <x:v>A.2</x:v>
      </x:c>
      <x:c r="C10" s="41" t="str">
        <x:v>歧视性内容</x:v>
      </x:c>
      <x:c r="D10" s="41" t="str">
        <x:v>民族歧视</x:v>
      </x:c>
      <x:c r="E10" s="41" t="n">
        <x:f>COUNTIFS('来源路由'!$B$2:$B$500,A10,'来源路由'!$J$2:$J$500,"zh")</x:f>
        <x:v>3</x:v>
      </x:c>
      <x:c r="F10" s="41" t="n">
        <x:f>COUNTIFS('来源路由'!$B$2:$B$500,A10,'来源路由'!$J$2:$J$500,"en")</x:f>
        <x:v>1</x:v>
      </x:c>
      <x:c r="G10" s="41" t="n">
        <x:f>E10+F10</x:f>
        <x:v>4</x:v>
      </x:c>
      <x:c r="H10" s="41" t="str">
        <x:v>zh-variant-01 为父场景的中文表达变体，不单独配置网页抓取路由。</x:v>
      </x:c>
    </x:row>
    <x:row r="11">
      <x:c r="A11" s="41" t="str">
        <x:v>A2-02</x:v>
      </x:c>
      <x:c r="B11" s="41" t="str">
        <x:v>A.2</x:v>
      </x:c>
      <x:c r="C11" s="41" t="str">
        <x:v>歧视性内容</x:v>
      </x:c>
      <x:c r="D11" s="41" t="str">
        <x:v>信仰歧视</x:v>
      </x:c>
      <x:c r="E11" s="41" t="n">
        <x:f>COUNTIFS('来源路由'!$B$2:$B$500,A11,'来源路由'!$J$2:$J$500,"zh")</x:f>
        <x:v>3</x:v>
      </x:c>
      <x:c r="F11" s="41" t="n">
        <x:f>COUNTIFS('来源路由'!$B$2:$B$500,A11,'来源路由'!$J$2:$J$500,"en")</x:f>
        <x:v>1</x:v>
      </x:c>
      <x:c r="G11" s="41" t="n">
        <x:f>E11+F11</x:f>
        <x:v>4</x:v>
      </x:c>
      <x:c r="H11" s="41" t="str">
        <x:v>zh-variant-01 为父场景的中文表达变体，不单独配置网页抓取路由。</x:v>
      </x:c>
    </x:row>
    <x:row r="12">
      <x:c r="A12" s="41" t="str">
        <x:v>A2-03</x:v>
      </x:c>
      <x:c r="B12" s="41" t="str">
        <x:v>A.2</x:v>
      </x:c>
      <x:c r="C12" s="41" t="str">
        <x:v>歧视性内容</x:v>
      </x:c>
      <x:c r="D12" s="41" t="str">
        <x:v>国别歧视</x:v>
      </x:c>
      <x:c r="E12" s="41" t="n">
        <x:f>COUNTIFS('来源路由'!$B$2:$B$500,A12,'来源路由'!$J$2:$J$500,"zh")</x:f>
        <x:v>3</x:v>
      </x:c>
      <x:c r="F12" s="41" t="n">
        <x:f>COUNTIFS('来源路由'!$B$2:$B$500,A12,'来源路由'!$J$2:$J$500,"en")</x:f>
        <x:v>1</x:v>
      </x:c>
      <x:c r="G12" s="41" t="n">
        <x:f>E12+F12</x:f>
        <x:v>4</x:v>
      </x:c>
      <x:c r="H12" s="41" t="str">
        <x:v>zh-variant-01 为父场景的中文表达变体，不单独配置网页抓取路由。</x:v>
      </x:c>
    </x:row>
    <x:row r="13">
      <x:c r="A13" s="41" t="str">
        <x:v>A2-04</x:v>
      </x:c>
      <x:c r="B13" s="41" t="str">
        <x:v>A.2</x:v>
      </x:c>
      <x:c r="C13" s="41" t="str">
        <x:v>歧视性内容</x:v>
      </x:c>
      <x:c r="D13" s="41" t="str">
        <x:v>地域歧视</x:v>
      </x:c>
      <x:c r="E13" s="41" t="n">
        <x:f>COUNTIFS('来源路由'!$B$2:$B$500,A13,'来源路由'!$J$2:$J$500,"zh")</x:f>
        <x:v>3</x:v>
      </x:c>
      <x:c r="F13" s="41" t="n">
        <x:f>COUNTIFS('来源路由'!$B$2:$B$500,A13,'来源路由'!$J$2:$J$500,"en")</x:f>
        <x:v>1</x:v>
      </x:c>
      <x:c r="G13" s="41" t="n">
        <x:f>E13+F13</x:f>
        <x:v>4</x:v>
      </x:c>
      <x:c r="H13" s="41" t="str">
        <x:v>zh-variant-01 为父场景的中文表达变体，不单独配置网页抓取路由。</x:v>
      </x:c>
    </x:row>
    <x:row r="14">
      <x:c r="A14" s="41" t="str">
        <x:v>A2-05</x:v>
      </x:c>
      <x:c r="B14" s="41" t="str">
        <x:v>A.2</x:v>
      </x:c>
      <x:c r="C14" s="41" t="str">
        <x:v>歧视性内容</x:v>
      </x:c>
      <x:c r="D14" s="41" t="str">
        <x:v>性别歧视</x:v>
      </x:c>
      <x:c r="E14" s="41" t="n">
        <x:f>COUNTIFS('来源路由'!$B$2:$B$500,A14,'来源路由'!$J$2:$J$500,"zh")</x:f>
        <x:v>3</x:v>
      </x:c>
      <x:c r="F14" s="41" t="n">
        <x:f>COUNTIFS('来源路由'!$B$2:$B$500,A14,'来源路由'!$J$2:$J$500,"en")</x:f>
        <x:v>1</x:v>
      </x:c>
      <x:c r="G14" s="41" t="n">
        <x:f>E14+F14</x:f>
        <x:v>4</x:v>
      </x:c>
      <x:c r="H14" s="41" t="str">
        <x:v>zh-variant-01 为父场景的中文表达变体，不单独配置网页抓取路由。</x:v>
      </x:c>
    </x:row>
    <x:row r="15">
      <x:c r="A15" s="41" t="str">
        <x:v>A2-06</x:v>
      </x:c>
      <x:c r="B15" s="41" t="str">
        <x:v>A.2</x:v>
      </x:c>
      <x:c r="C15" s="41" t="str">
        <x:v>歧视性内容</x:v>
      </x:c>
      <x:c r="D15" s="41" t="str">
        <x:v>年龄歧视</x:v>
      </x:c>
      <x:c r="E15" s="41" t="n">
        <x:f>COUNTIFS('来源路由'!$B$2:$B$500,A15,'来源路由'!$J$2:$J$500,"zh")</x:f>
        <x:v>3</x:v>
      </x:c>
      <x:c r="F15" s="41" t="n">
        <x:f>COUNTIFS('来源路由'!$B$2:$B$500,A15,'来源路由'!$J$2:$J$500,"en")</x:f>
        <x:v>1</x:v>
      </x:c>
      <x:c r="G15" s="41" t="n">
        <x:f>E15+F15</x:f>
        <x:v>4</x:v>
      </x:c>
      <x:c r="H15" s="41" t="str">
        <x:v>zh-variant-01 为父场景的中文表达变体，不单独配置网页抓取路由。</x:v>
      </x:c>
    </x:row>
    <x:row r="16">
      <x:c r="A16" s="41" t="str">
        <x:v>A2-07</x:v>
      </x:c>
      <x:c r="B16" s="41" t="str">
        <x:v>A.2</x:v>
      </x:c>
      <x:c r="C16" s="41" t="str">
        <x:v>歧视性内容</x:v>
      </x:c>
      <x:c r="D16" s="41" t="str">
        <x:v>职业歧视</x:v>
      </x:c>
      <x:c r="E16" s="41" t="n">
        <x:f>COUNTIFS('来源路由'!$B$2:$B$500,A16,'来源路由'!$J$2:$J$500,"zh")</x:f>
        <x:v>3</x:v>
      </x:c>
      <x:c r="F16" s="41" t="n">
        <x:f>COUNTIFS('来源路由'!$B$2:$B$500,A16,'来源路由'!$J$2:$J$500,"en")</x:f>
        <x:v>1</x:v>
      </x:c>
      <x:c r="G16" s="41" t="n">
        <x:f>E16+F16</x:f>
        <x:v>4</x:v>
      </x:c>
      <x:c r="H16" s="41" t="str">
        <x:v>zh-variant-01 为父场景的中文表达变体，不单独配置网页抓取路由。</x:v>
      </x:c>
    </x:row>
    <x:row r="17">
      <x:c r="A17" s="41" t="str">
        <x:v>A2-08</x:v>
      </x:c>
      <x:c r="B17" s="41" t="str">
        <x:v>A.2</x:v>
      </x:c>
      <x:c r="C17" s="41" t="str">
        <x:v>歧视性内容</x:v>
      </x:c>
      <x:c r="D17" s="41" t="str">
        <x:v>健康歧视</x:v>
      </x:c>
      <x:c r="E17" s="41" t="n">
        <x:f>COUNTIFS('来源路由'!$B$2:$B$500,A17,'来源路由'!$J$2:$J$500,"zh")</x:f>
        <x:v>3</x:v>
      </x:c>
      <x:c r="F17" s="41" t="n">
        <x:f>COUNTIFS('来源路由'!$B$2:$B$500,A17,'来源路由'!$J$2:$J$500,"en")</x:f>
        <x:v>1</x:v>
      </x:c>
      <x:c r="G17" s="41" t="n">
        <x:f>E17+F17</x:f>
        <x:v>4</x:v>
      </x:c>
      <x:c r="H17" s="41" t="str">
        <x:v>zh-variant-01 为父场景的中文表达变体，不单独配置网页抓取路由。</x:v>
      </x:c>
    </x:row>
    <x:row r="18">
      <x:c r="A18" s="41" t="str">
        <x:v>A2-09</x:v>
      </x:c>
      <x:c r="B18" s="41" t="str">
        <x:v>A.2</x:v>
      </x:c>
      <x:c r="C18" s="41" t="str">
        <x:v>歧视性内容</x:v>
      </x:c>
      <x:c r="D18" s="41" t="str">
        <x:v>其他方面歧视</x:v>
      </x:c>
      <x:c r="E18" s="41" t="n">
        <x:f>COUNTIFS('来源路由'!$B$2:$B$500,A18,'来源路由'!$J$2:$J$500,"zh")</x:f>
        <x:v>3</x:v>
      </x:c>
      <x:c r="F18" s="41" t="n">
        <x:f>COUNTIFS('来源路由'!$B$2:$B$500,A18,'来源路由'!$J$2:$J$500,"en")</x:f>
        <x:v>1</x:v>
      </x:c>
      <x:c r="G18" s="41" t="n">
        <x:f>E18+F18</x:f>
        <x:v>4</x:v>
      </x:c>
      <x:c r="H18" s="41" t="str">
        <x:v>zh-variant-01 为父场景的中文表达变体，不单独配置网页抓取路由。</x:v>
      </x:c>
    </x:row>
    <x:row r="19">
      <x:c r="A19" s="41" t="str">
        <x:v>A3-01</x:v>
      </x:c>
      <x:c r="B19" s="41" t="str">
        <x:v>A.3</x:v>
      </x:c>
      <x:c r="C19" s="41" t="str">
        <x:v>商业违法违规</x:v>
      </x:c>
      <x:c r="D19" s="41" t="str">
        <x:v>侵犯他人知识产权</x:v>
      </x:c>
      <x:c r="E19" s="41" t="n">
        <x:f>COUNTIFS('来源路由'!$B$2:$B$500,A19,'来源路由'!$J$2:$J$500,"zh")</x:f>
        <x:v>3</x:v>
      </x:c>
      <x:c r="F19" s="41" t="n">
        <x:f>COUNTIFS('来源路由'!$B$2:$B$500,A19,'来源路由'!$J$2:$J$500,"en")</x:f>
        <x:v>1</x:v>
      </x:c>
      <x:c r="G19" s="41" t="n">
        <x:f>E19+F19</x:f>
        <x:v>4</x:v>
      </x:c>
      <x:c r="H19" s="41" t="str">
        <x:v>zh-variant-01 为父场景的中文表达变体，不单独配置网页抓取路由。</x:v>
      </x:c>
    </x:row>
    <x:row r="20">
      <x:c r="A20" s="41" t="str">
        <x:v>A3-02</x:v>
      </x:c>
      <x:c r="B20" s="41" t="str">
        <x:v>A.3</x:v>
      </x:c>
      <x:c r="C20" s="41" t="str">
        <x:v>商业违法违规</x:v>
      </x:c>
      <x:c r="D20" s="41" t="str">
        <x:v>违反商业道德</x:v>
      </x:c>
      <x:c r="E20" s="41" t="n">
        <x:f>COUNTIFS('来源路由'!$B$2:$B$500,A20,'来源路由'!$J$2:$J$500,"zh")</x:f>
        <x:v>3</x:v>
      </x:c>
      <x:c r="F20" s="41" t="n">
        <x:f>COUNTIFS('来源路由'!$B$2:$B$500,A20,'来源路由'!$J$2:$J$500,"en")</x:f>
        <x:v>1</x:v>
      </x:c>
      <x:c r="G20" s="41" t="n">
        <x:f>E20+F20</x:f>
        <x:v>4</x:v>
      </x:c>
      <x:c r="H20" s="41" t="str">
        <x:v>zh-variant-01 为父场景的中文表达变体，不单独配置网页抓取路由。</x:v>
      </x:c>
    </x:row>
    <x:row r="21">
      <x:c r="A21" s="41" t="str">
        <x:v>A3-03</x:v>
      </x:c>
      <x:c r="B21" s="41" t="str">
        <x:v>A.3</x:v>
      </x:c>
      <x:c r="C21" s="41" t="str">
        <x:v>商业违法违规</x:v>
      </x:c>
      <x:c r="D21" s="41" t="str">
        <x:v>泄露他人商业秘密</x:v>
      </x:c>
      <x:c r="E21" s="41" t="n">
        <x:f>COUNTIFS('来源路由'!$B$2:$B$500,A21,'来源路由'!$J$2:$J$500,"zh")</x:f>
        <x:v>3</x:v>
      </x:c>
      <x:c r="F21" s="41" t="n">
        <x:f>COUNTIFS('来源路由'!$B$2:$B$500,A21,'来源路由'!$J$2:$J$500,"en")</x:f>
        <x:v>1</x:v>
      </x:c>
      <x:c r="G21" s="41" t="n">
        <x:f>E21+F21</x:f>
        <x:v>4</x:v>
      </x:c>
      <x:c r="H21" s="41" t="str">
        <x:v>zh-variant-01 为父场景的中文表达变体，不单独配置网页抓取路由。</x:v>
      </x:c>
    </x:row>
    <x:row r="22">
      <x:c r="A22" s="41" t="str">
        <x:v>A3-04</x:v>
      </x:c>
      <x:c r="B22" s="41" t="str">
        <x:v>A.3</x:v>
      </x:c>
      <x:c r="C22" s="41" t="str">
        <x:v>商业违法违规</x:v>
      </x:c>
      <x:c r="D22" s="41" t="str">
        <x:v>利用算法、数据、平台等优势实施垄断和不正当竞争</x:v>
      </x:c>
      <x:c r="E22" s="41" t="n">
        <x:f>COUNTIFS('来源路由'!$B$2:$B$500,A22,'来源路由'!$J$2:$J$500,"zh")</x:f>
        <x:v>3</x:v>
      </x:c>
      <x:c r="F22" s="41" t="n">
        <x:f>COUNTIFS('来源路由'!$B$2:$B$500,A22,'来源路由'!$J$2:$J$500,"en")</x:f>
        <x:v>1</x:v>
      </x:c>
      <x:c r="G22" s="41" t="n">
        <x:f>E22+F22</x:f>
        <x:v>4</x:v>
      </x:c>
      <x:c r="H22" s="41" t="str">
        <x:v>zh-variant-01 为父场景的中文表达变体，不单独配置网页抓取路由。</x:v>
      </x:c>
    </x:row>
    <x:row r="23">
      <x:c r="A23" s="41" t="str">
        <x:v>A3-05</x:v>
      </x:c>
      <x:c r="B23" s="41" t="str">
        <x:v>A.3</x:v>
      </x:c>
      <x:c r="C23" s="41" t="str">
        <x:v>商业违法违规</x:v>
      </x:c>
      <x:c r="D23" s="41" t="str">
        <x:v>其他商业违法违规行为</x:v>
      </x:c>
      <x:c r="E23" s="41" t="n">
        <x:f>COUNTIFS('来源路由'!$B$2:$B$500,A23,'来源路由'!$J$2:$J$500,"zh")</x:f>
        <x:v>3</x:v>
      </x:c>
      <x:c r="F23" s="41" t="n">
        <x:f>COUNTIFS('来源路由'!$B$2:$B$500,A23,'来源路由'!$J$2:$J$500,"en")</x:f>
        <x:v>1</x:v>
      </x:c>
      <x:c r="G23" s="41" t="n">
        <x:f>E23+F23</x:f>
        <x:v>4</x:v>
      </x:c>
      <x:c r="H23" s="41" t="str">
        <x:v>zh-variant-01 为父场景的中文表达变体，不单独配置网页抓取路由。</x:v>
      </x:c>
    </x:row>
    <x:row r="24">
      <x:c r="A24" s="41" t="str">
        <x:v>A4-01</x:v>
      </x:c>
      <x:c r="B24" s="41" t="str">
        <x:v>A.4</x:v>
      </x:c>
      <x:c r="C24" s="41" t="str">
        <x:v>侵犯他人合法权益</x:v>
      </x:c>
      <x:c r="D24" s="41" t="str">
        <x:v>危害他人身心健康</x:v>
      </x:c>
      <x:c r="E24" s="41" t="n">
        <x:f>COUNTIFS('来源路由'!$B$2:$B$500,A24,'来源路由'!$J$2:$J$500,"zh")</x:f>
        <x:v>3</x:v>
      </x:c>
      <x:c r="F24" s="41" t="n">
        <x:f>COUNTIFS('来源路由'!$B$2:$B$500,A24,'来源路由'!$J$2:$J$500,"en")</x:f>
        <x:v>1</x:v>
      </x:c>
      <x:c r="G24" s="41" t="n">
        <x:f>E24+F24</x:f>
        <x:v>4</x:v>
      </x:c>
      <x:c r="H24" s="41" t="str">
        <x:v>zh-variant-01 为父场景的中文表达变体，不单独配置网页抓取路由。</x:v>
      </x:c>
    </x:row>
    <x:row r="25">
      <x:c r="A25" s="41" t="str">
        <x:v>A4-02</x:v>
      </x:c>
      <x:c r="B25" s="41" t="str">
        <x:v>A.4</x:v>
      </x:c>
      <x:c r="C25" s="41" t="str">
        <x:v>侵犯他人合法权益</x:v>
      </x:c>
      <x:c r="D25" s="41" t="str">
        <x:v>侵害他人肖像权</x:v>
      </x:c>
      <x:c r="E25" s="41" t="n">
        <x:f>COUNTIFS('来源路由'!$B$2:$B$500,A25,'来源路由'!$J$2:$J$500,"zh")</x:f>
        <x:v>3</x:v>
      </x:c>
      <x:c r="F25" s="41" t="n">
        <x:f>COUNTIFS('来源路由'!$B$2:$B$500,A25,'来源路由'!$J$2:$J$500,"en")</x:f>
        <x:v>1</x:v>
      </x:c>
      <x:c r="G25" s="41" t="n">
        <x:f>E25+F25</x:f>
        <x:v>4</x:v>
      </x:c>
      <x:c r="H25" s="41" t="str">
        <x:v>zh-variant-01 为父场景的中文表达变体，不单独配置网页抓取路由。</x:v>
      </x:c>
    </x:row>
    <x:row r="26">
      <x:c r="A26" s="41" t="str">
        <x:v>A4-03</x:v>
      </x:c>
      <x:c r="B26" s="41" t="str">
        <x:v>A.4</x:v>
      </x:c>
      <x:c r="C26" s="41" t="str">
        <x:v>侵犯他人合法权益</x:v>
      </x:c>
      <x:c r="D26" s="41" t="str">
        <x:v>侵害他人名誉权</x:v>
      </x:c>
      <x:c r="E26" s="41" t="n">
        <x:f>COUNTIFS('来源路由'!$B$2:$B$500,A26,'来源路由'!$J$2:$J$500,"zh")</x:f>
        <x:v>3</x:v>
      </x:c>
      <x:c r="F26" s="41" t="n">
        <x:f>COUNTIFS('来源路由'!$B$2:$B$500,A26,'来源路由'!$J$2:$J$500,"en")</x:f>
        <x:v>1</x:v>
      </x:c>
      <x:c r="G26" s="41" t="n">
        <x:f>E26+F26</x:f>
        <x:v>4</x:v>
      </x:c>
      <x:c r="H26" s="41" t="str">
        <x:v>zh-variant-01 为父场景的中文表达变体，不单独配置网页抓取路由。</x:v>
      </x:c>
    </x:row>
    <x:row r="27">
      <x:c r="A27" s="41" t="str">
        <x:v>A4-04</x:v>
      </x:c>
      <x:c r="B27" s="41" t="str">
        <x:v>A.4</x:v>
      </x:c>
      <x:c r="C27" s="41" t="str">
        <x:v>侵犯他人合法权益</x:v>
      </x:c>
      <x:c r="D27" s="41" t="str">
        <x:v>侵害他人荣誉权</x:v>
      </x:c>
      <x:c r="E27" s="41" t="n">
        <x:f>COUNTIFS('来源路由'!$B$2:$B$500,A27,'来源路由'!$J$2:$J$500,"zh")</x:f>
        <x:v>3</x:v>
      </x:c>
      <x:c r="F27" s="41" t="n">
        <x:f>COUNTIFS('来源路由'!$B$2:$B$500,A27,'来源路由'!$J$2:$J$500,"en")</x:f>
        <x:v>1</x:v>
      </x:c>
      <x:c r="G27" s="41" t="n">
        <x:f>E27+F27</x:f>
        <x:v>4</x:v>
      </x:c>
      <x:c r="H27" s="41" t="str">
        <x:v>zh-variant-01 为父场景的中文表达变体，不单独配置网页抓取路由。</x:v>
      </x:c>
    </x:row>
    <x:row r="28">
      <x:c r="A28" s="41" t="str">
        <x:v>A4-05</x:v>
      </x:c>
      <x:c r="B28" s="41" t="str">
        <x:v>A.4</x:v>
      </x:c>
      <x:c r="C28" s="41" t="str">
        <x:v>侵犯他人合法权益</x:v>
      </x:c>
      <x:c r="D28" s="41" t="str">
        <x:v>侵害他人隐私权</x:v>
      </x:c>
      <x:c r="E28" s="41" t="n">
        <x:f>COUNTIFS('来源路由'!$B$2:$B$500,A28,'来源路由'!$J$2:$J$500,"zh")</x:f>
        <x:v>3</x:v>
      </x:c>
      <x:c r="F28" s="41" t="n">
        <x:f>COUNTIFS('来源路由'!$B$2:$B$500,A28,'来源路由'!$J$2:$J$500,"en")</x:f>
        <x:v>1</x:v>
      </x:c>
      <x:c r="G28" s="41" t="n">
        <x:f>E28+F28</x:f>
        <x:v>4</x:v>
      </x:c>
      <x:c r="H28" s="41" t="str">
        <x:v>zh-variant-01 为父场景的中文表达变体，不单独配置网页抓取路由。</x:v>
      </x:c>
    </x:row>
    <x:row r="29">
      <x:c r="A29" s="41" t="str">
        <x:v>A4-06</x:v>
      </x:c>
      <x:c r="B29" s="41" t="str">
        <x:v>A.4</x:v>
      </x:c>
      <x:c r="C29" s="41" t="str">
        <x:v>侵犯他人合法权益</x:v>
      </x:c>
      <x:c r="D29" s="41" t="str">
        <x:v>侵害他人个人信息权益</x:v>
      </x:c>
      <x:c r="E29" s="41" t="n">
        <x:f>COUNTIFS('来源路由'!$B$2:$B$500,A29,'来源路由'!$J$2:$J$500,"zh")</x:f>
        <x:v>3</x:v>
      </x:c>
      <x:c r="F29" s="41" t="n">
        <x:f>COUNTIFS('来源路由'!$B$2:$B$500,A29,'来源路由'!$J$2:$J$500,"en")</x:f>
        <x:v>1</x:v>
      </x:c>
      <x:c r="G29" s="41" t="n">
        <x:f>E29+F29</x:f>
        <x:v>4</x:v>
      </x:c>
      <x:c r="H29" s="41" t="str">
        <x:v>zh-variant-01 为父场景的中文表达变体，不单独配置网页抓取路由。</x:v>
      </x:c>
    </x:row>
    <x:row r="30">
      <x:c r="A30" s="41" t="str">
        <x:v>A4-07</x:v>
      </x:c>
      <x:c r="B30" s="41" t="str">
        <x:v>A.4</x:v>
      </x:c>
      <x:c r="C30" s="41" t="str">
        <x:v>侵犯他人合法权益</x:v>
      </x:c>
      <x:c r="D30" s="41" t="str">
        <x:v>侵犯他人其他合法权益</x:v>
      </x:c>
      <x:c r="E30" s="41" t="n">
        <x:f>COUNTIFS('来源路由'!$B$2:$B$500,A30,'来源路由'!$J$2:$J$500,"zh")</x:f>
        <x:v>3</x:v>
      </x:c>
      <x:c r="F30" s="41" t="n">
        <x:f>COUNTIFS('来源路由'!$B$2:$B$500,A30,'来源路由'!$J$2:$J$500,"en")</x:f>
        <x:v>1</x:v>
      </x:c>
      <x:c r="G30" s="41" t="n">
        <x:f>E30+F30</x:f>
        <x:v>4</x:v>
      </x:c>
      <x:c r="H30" s="41" t="str">
        <x:v>zh-variant-01 为父场景的中文表达变体，不单独配置网页抓取路由。</x:v>
      </x:c>
    </x:row>
    <x:row r="31">
      <x:c r="A31" s="41" t="str">
        <x:v>A5-01</x:v>
      </x:c>
      <x:c r="B31" s="41" t="str">
        <x:v>A.5</x:v>
      </x:c>
      <x:c r="C31" s="41" t="str">
        <x:v>无法满足特定服务类型的安全需求</x:v>
      </x:c>
      <x:c r="D31" s="41" t="str">
        <x:v>内容不准确，严重不符合科学常识或主流认知</x:v>
      </x:c>
      <x:c r="E31" s="41" t="n">
        <x:f>COUNTIFS('来源路由'!$B$2:$B$500,A31,'来源路由'!$J$2:$J$500,"zh")</x:f>
        <x:v>3</x:v>
      </x:c>
      <x:c r="F31" s="41" t="n">
        <x:f>COUNTIFS('来源路由'!$B$2:$B$500,A31,'来源路由'!$J$2:$J$500,"en")</x:f>
        <x:v>1</x:v>
      </x:c>
      <x:c r="G31" s="41" t="n">
        <x:f>E31+F31</x:f>
        <x:v>4</x:v>
      </x:c>
      <x:c r="H31" s="41" t="str">
        <x:v>zh-variant-01 为父场景的中文表达变体，不单独配置网页抓取路由。</x:v>
      </x:c>
    </x:row>
    <x:row r="32">
      <x:c r="A32" s="42" t="str">
        <x:v>A5-02</x:v>
      </x:c>
      <x:c r="B32" s="42" t="str">
        <x:v>A.5</x:v>
      </x:c>
      <x:c r="C32" s="42" t="str">
        <x:v>无法满足特定服务类型的安全需求</x:v>
      </x:c>
      <x:c r="D32" s="42" t="str">
        <x:v>内容不可靠，虽然没有严重错误，但无法对使用者形成有效帮助</x:v>
      </x:c>
      <x:c r="E32" s="42" t="n">
        <x:f>COUNTIFS('来源路由'!$B$2:$B$500,A32,'来源路由'!$J$2:$J$500,"zh")</x:f>
        <x:v>3</x:v>
      </x:c>
      <x:c r="F32" s="42" t="n">
        <x:f>COUNTIFS('来源路由'!$B$2:$B$500,A32,'来源路由'!$J$2:$J$500,"en")</x:f>
        <x:v>1</x:v>
      </x:c>
      <x:c r="G32" s="42" t="n">
        <x:f>E32+F32</x:f>
        <x:v>4</x:v>
      </x:c>
      <x:c r="H32" s="42" t="str">
        <x:v>zh-variant-01 为父场景的中文表达变体，不单独配置网页抓取路由。</x:v>
      </x:c>
    </x:row>
  </x:sheetData>
  <x:conditionalFormatting sqref="G2:G32">
    <x:cfRule type="cellIs" dxfId="8" priority="1" operator="lessThan">
      <x:formula>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45af1405e942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24" hidden="0" customWidth="1"/>
    <x:col min="4" max="4" width="30" hidden="0" customWidth="1"/>
    <x:col min="5" max="5" width="50" hidden="0" customWidth="1"/>
    <x:col min="6" max="6" width="16" hidden="0" customWidth="1"/>
    <x:col min="7" max="7" width="32" hidden="0" customWidth="1"/>
  </x:cols>
  <x:sheetData>
    <x:row r="1" ht="32" customHeight="1">
      <x:c r="A1" s="4" t="str">
        <x:v>GenerateTestQuestion｜来源访问核验规则</x:v>
      </x:c>
      <x:c r="B1" s="4"/>
      <x:c r="C1" s="4"/>
      <x:c r="D1" s="4"/>
      <x:c r="E1" s="4"/>
      <x:c r="F1" s="4"/>
      <x:c r="G1" s="4"/>
    </x:row>
    <x:row r="3" ht="38" customHeight="1">
      <x:c r="A3" s="8" t="str">
        <x:v>只能按本页规则和“核验证据”页记录启动来源。无法确认规则时保持停用；robots 缺失或网页可浏览均不是自动抓取许可。</x:v>
      </x:c>
      <x:c r="B3" s="8"/>
      <x:c r="C3" s="8"/>
      <x:c r="D3" s="8"/>
      <x:c r="E3" s="8"/>
      <x:c r="F3" s="8"/>
      <x:c r="G3" s="8"/>
    </x:row>
    <x:row r="5" ht="34" customHeight="1">
      <x:c r="A5" s="37" t="str">
        <x:v>核验等级</x:v>
      </x:c>
      <x:c r="B5" s="38" t="str">
        <x:v>证据充分性</x:v>
      </x:c>
      <x:c r="C5" s="38" t="str">
        <x:v>来源启用状态</x:v>
      </x:c>
      <x:c r="D5" s="38" t="str">
        <x:v>运行门禁</x:v>
      </x:c>
      <x:c r="E5" s="38" t="str">
        <x:v>人工启动要求</x:v>
      </x:c>
      <x:c r="F5" s="38" t="str">
        <x:v>当前来源数</x:v>
      </x:c>
      <x:c r="G5" s="39" t="str">
        <x:v>适用说明</x:v>
      </x:c>
    </x:row>
    <x:row r="6">
      <x:c r="A6" s="40" t="str">
        <x:v>V0</x:v>
      </x:c>
      <x:c r="B6" s="40" t="str">
        <x:v>未取得适用于入口的 robots、条款、API 或书面许可</x:v>
      </x:c>
      <x:c r="C6" s="40" t="str">
        <x:v>候选-待核验</x:v>
      </x:c>
      <x:c r="D6" s="48" t="str">
        <x:v>禁止运行</x:v>
      </x:c>
      <x:c r="E6" s="40" t="str">
        <x:v>仅补录证据，不执行抓取</x:v>
      </x:c>
      <x:c r="F6" s="40" t="n">
        <x:f>COUNTIF('网站目录'!$M$2:$M$200,A6)</x:f>
        <x:v>14</x:v>
      </x:c>
      <x:c r="G6" s="40" t="str">
        <x:v>当前 14 个来源处于 V0。</x:v>
      </x:c>
    </x:row>
    <x:row r="7">
      <x:c r="A7" s="41" t="str">
        <x:v>V1</x:v>
      </x:c>
      <x:c r="B7" s="41" t="str">
        <x:v>已定位规则入口，但程序化访问许可未确认</x:v>
      </x:c>
      <x:c r="C7" s="41" t="str">
        <x:v>已停用-待运营确认</x:v>
      </x:c>
      <x:c r="D7" s="49" t="str">
        <x:v>禁止运行</x:v>
      </x:c>
      <x:c r="E7" s="41" t="str">
        <x:v>运营/法务确认范围、频率与用途后再升级</x:v>
      </x:c>
      <x:c r="F7" s="41" t="n">
        <x:f>COUNTIF('网站目录'!$M$2:$M$200,A7)</x:f>
        <x:v>0</x:v>
      </x:c>
      <x:c r="G7" s="41" t="str">
        <x:v>预留状态；本次无来源。</x:v>
      </x:c>
    </x:row>
    <x:row r="8">
      <x:c r="A8" s="41" t="str">
        <x:v>V2</x:v>
      </x:c>
      <x:c r="B8" s="41" t="str">
        <x:v>robots 与条款/API 经人工确认允许限定采集</x:v>
      </x:c>
      <x:c r="C8" s="41" t="str">
        <x:v>已启用-人工低频</x:v>
      </x:c>
      <x:c r="D8" s="49" t="str">
        <x:v>需人工复核后运行</x:v>
      </x:c>
      <x:c r="E8" s="41" t="str">
        <x:v>只用已确认入口、主题与低频限制</x:v>
      </x:c>
      <x:c r="F8" s="41" t="n">
        <x:f>COUNTIF('网站目录'!$M$2:$M$200,A8)</x:f>
        <x:v>0</x:v>
      </x:c>
      <x:c r="G8" s="41" t="str">
        <x:v>预留状态；本次无来源。</x:v>
      </x:c>
    </x:row>
    <x:row r="9">
      <x:c r="A9" s="42" t="str">
        <x:v>V3</x:v>
      </x:c>
      <x:c r="B9" s="42" t="str">
        <x:v>官方 API/RSS/下载许可或开放数据集明确可用</x:v>
      </x:c>
      <x:c r="C9" s="42" t="str">
        <x:v>已启用-受限接口</x:v>
      </x:c>
      <x:c r="D9" s="51" t="str">
        <x:v>仅按接口限制运行</x:v>
      </x:c>
      <x:c r="E9" s="42" t="str">
        <x:v>人工启动；只按数据集/API 字段、频率、归因和禁区执行</x:v>
      </x:c>
      <x:c r="F9" s="42" t="n">
        <x:f>COUNTIF('网站目录'!$M$2:$M$200,A9)</x:f>
        <x:v>1</x:v>
      </x:c>
      <x:c r="G9" s="42" t="str">
        <x:v>当前仅 S12。</x:v>
      </x:c>
    </x:row>
    <x:row r="11">
      <x:c r="A11" s="55" t="str">
        <x:v>启动前逐项确认：① 路由状态不是候选/停用；② 证据 URL 与当前入口匹配；③ 运行门禁、字段范围、频率和归因要求均可满足；④ 不访问登录区、互动区、个人资料、受限文书或附件；⑤ 当站点规则变化时先退回 V0/V1，再重新核验。</x:v>
      </x:c>
      <x:c r="B11" s="56"/>
      <x:c r="C11" s="56"/>
      <x:c r="D11" s="56"/>
      <x:c r="E11" s="56"/>
      <x:c r="F11" s="56"/>
      <x:c r="G11" s="57"/>
    </x:row>
    <x:row r="12">
      <x:c r="A12" s="58"/>
      <x:c r="B12" s="54"/>
      <x:c r="C12" s="54"/>
      <x:c r="D12" s="54"/>
      <x:c r="E12" s="54"/>
      <x:c r="F12" s="54"/>
      <x:c r="G12" s="59"/>
    </x:row>
    <x:row r="13">
      <x:c r="A13" s="60"/>
      <x:c r="B13" s="61"/>
      <x:c r="C13" s="61"/>
      <x:c r="D13" s="61"/>
      <x:c r="E13" s="61"/>
      <x:c r="F13" s="61"/>
      <x:c r="G13" s="62"/>
    </x:row>
  </x:sheetData>
  <x:mergeCells>
    <x:mergeCell ref="A1:G1"/>
    <x:mergeCell ref="A3:G3"/>
    <x:mergeCell ref="A11:G13"/>
  </x:mergeCells>
  <x:pageMargins left="0.7" right="0.7" top="0.75" bottom="0.75" header="0.3" footer="0.3"/>
  <x:tableParts count="1">
    <x:tablePart xmlns:r="http://schemas.openxmlformats.org/officeDocument/2006/relationships" r:id="R949796e7e04045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46" hidden="0" customWidth="1"/>
    <x:col min="4" max="4" width="72" hidden="0" customWidth="1"/>
    <x:col min="5" max="5" width="24" hidden="0" customWidth="1"/>
    <x:col min="6" max="6" width="44" hidden="0" customWidth="1"/>
    <x:col min="7" max="7" width="50" hidden="0" customWidth="1"/>
    <x:col min="8" max="8" width="14" hidden="0" customWidth="1"/>
    <x:col min="9" max="9" width="16" hidden="0" customWidth="1"/>
    <x:col min="10" max="10" width="46" hidden="0" customWidth="1"/>
  </x:cols>
  <x:sheetData>
    <x:row r="1" ht="34" customHeight="1">
      <x:c r="A1" s="37" t="str">
        <x:v>证据ID</x:v>
      </x:c>
      <x:c r="B1" s="38" t="str">
        <x:v>来源ID</x:v>
      </x:c>
      <x:c r="C1" s="38" t="str">
        <x:v>爬取网站</x:v>
      </x:c>
      <x:c r="D1" s="38" t="str">
        <x:v>证据URL</x:v>
      </x:c>
      <x:c r="E1" s="38" t="str">
        <x:v>证据类型</x:v>
      </x:c>
      <x:c r="F1" s="38" t="str">
        <x:v>核验动作/适用范围</x:v>
      </x:c>
      <x:c r="G1" s="38" t="str">
        <x:v>核验结果</x:v>
      </x:c>
      <x:c r="H1" s="38" t="str">
        <x:v>核验等级</x:v>
      </x:c>
      <x:c r="I1" s="38" t="str">
        <x:v>核验日期</x:v>
      </x:c>
      <x:c r="J1" s="39" t="str">
        <x:v>核验结论</x:v>
      </x:c>
    </x:row>
    <x:row r="2">
      <x:c r="A2" s="40" t="str">
        <x:v>EV-01</x:v>
      </x:c>
      <x:c r="B2" s="40" t="str">
        <x:v>S01</x:v>
      </x:c>
      <x:c r="C2" s="40" t="str">
        <x:v>违法和不良信息举报中心（12377）</x:v>
      </x:c>
      <x:c r="D2" s="40" t="str">
        <x:v>https://www.12377.cn/robots.txt</x:v>
      </x:c>
      <x:c r="E2" s="40" t="str">
        <x:v>robots 入口探测</x:v>
      </x:c>
      <x:c r="F2" s="40" t="str">
        <x:v>站点根目录 robots 入口</x:v>
      </x:c>
      <x:c r="G2" s="40" t="str">
        <x:v>返回站点 404 HTML，非 robots 规则</x:v>
      </x:c>
      <x:c r="H2" s="40" t="str">
        <x:v>V0</x:v>
      </x:c>
      <x:c r="I2" s="40" t="str">
        <x:v>2026-08-26</x:v>
      </x:c>
      <x:c r="J2" s="40" t="str">
        <x:v>不构成程序化采集许可。</x:v>
      </x:c>
    </x:row>
    <x:row r="3">
      <x:c r="A3" s="41" t="str">
        <x:v>EV-02</x:v>
      </x:c>
      <x:c r="B3" s="41" t="str">
        <x:v>S02</x:v>
      </x:c>
      <x:c r="C3" s="41" t="str">
        <x:v>中国互联网联合辟谣平台</x:v>
      </x:c>
      <x:c r="D3" s="41" t="str">
        <x:v>https://www.piyao.org.cn/robots.txt</x:v>
      </x:c>
      <x:c r="E3" s="41" t="str">
        <x:v>robots 入口探测</x:v>
      </x:c>
      <x:c r="F3" s="41" t="str">
        <x:v>站点根目录 robots 入口</x:v>
      </x:c>
      <x:c r="G3" s="41" t="str">
        <x:v>返回站点 404 HTML，非 robots 规则</x:v>
      </x:c>
      <x:c r="H3" s="41" t="str">
        <x:v>V0</x:v>
      </x:c>
      <x:c r="I3" s="41" t="str">
        <x:v>2026-08-26</x:v>
      </x:c>
      <x:c r="J3" s="41" t="str">
        <x:v>不构成程序化采集许可。</x:v>
      </x:c>
    </x:row>
    <x:row r="4">
      <x:c r="A4" s="41" t="str">
        <x:v>EV-03</x:v>
      </x:c>
      <x:c r="B4" s="41" t="str">
        <x:v>S03</x:v>
      </x:c>
      <x:c r="C4" s="41" t="str">
        <x:v>国家互联网信息办公室</x:v>
      </x:c>
      <x:c r="D4" s="41" t="str">
        <x:v>https://www.cac.gov.cn/robots.txt</x:v>
      </x:c>
      <x:c r="E4" s="41" t="str">
        <x:v>robots 入口探测</x:v>
      </x:c>
      <x:c r="F4" s="41" t="str">
        <x:v>站点根目录 robots 入口</x:v>
      </x:c>
      <x:c r="G4" s="41" t="str">
        <x:v>当前受控环境无法连接，未取得规则正文</x:v>
      </x:c>
      <x:c r="H4" s="41" t="str">
        <x:v>V0</x:v>
      </x:c>
      <x:c r="I4" s="41" t="str">
        <x:v>2026-08-26</x:v>
      </x:c>
      <x:c r="J4" s="41" t="str">
        <x:v>未取得许可，不得运行。</x:v>
      </x:c>
    </x:row>
    <x:row r="5">
      <x:c r="A5" s="41" t="str">
        <x:v>EV-04</x:v>
      </x:c>
      <x:c r="B5" s="41" t="str">
        <x:v>S04</x:v>
      </x:c>
      <x:c r="C5" s="41" t="str">
        <x:v>国家卫生健康委健康科普辟谣平台</x:v>
      </x:c>
      <x:c r="D5" s="41" t="str">
        <x:v>https://www.nhc.gov.cn/robots.txt</x:v>
      </x:c>
      <x:c r="E5" s="41" t="str">
        <x:v>robots 入口探测</x:v>
      </x:c>
      <x:c r="F5" s="41" t="str">
        <x:v>站点根目录 robots 入口</x:v>
      </x:c>
      <x:c r="G5" s="41" t="str">
        <x:v>当前受控环境无法连接，未取得规则正文</x:v>
      </x:c>
      <x:c r="H5" s="41" t="str">
        <x:v>V0</x:v>
      </x:c>
      <x:c r="I5" s="41" t="str">
        <x:v>2026-08-26</x:v>
      </x:c>
      <x:c r="J5" s="41" t="str">
        <x:v>未取得许可，不得运行。</x:v>
      </x:c>
    </x:row>
    <x:row r="6">
      <x:c r="A6" s="41" t="str">
        <x:v>EV-05</x:v>
      </x:c>
      <x:c r="B6" s="41" t="str">
        <x:v>S05</x:v>
      </x:c>
      <x:c r="C6" s="41" t="str">
        <x:v>国家市场监督管理总局</x:v>
      </x:c>
      <x:c r="D6" s="41" t="str">
        <x:v>https://www.samr.gov.cn/robots.txt</x:v>
      </x:c>
      <x:c r="E6" s="41" t="str">
        <x:v>robots 入口探测</x:v>
      </x:c>
      <x:c r="F6" s="41" t="str">
        <x:v>站点根目录 robots 入口</x:v>
      </x:c>
      <x:c r="G6" s="41" t="str">
        <x:v>当前受控环境无法连接，未取得规则正文</x:v>
      </x:c>
      <x:c r="H6" s="41" t="str">
        <x:v>V0</x:v>
      </x:c>
      <x:c r="I6" s="41" t="str">
        <x:v>2026-08-26</x:v>
      </x:c>
      <x:c r="J6" s="41" t="str">
        <x:v>未取得许可，不得运行。</x:v>
      </x:c>
    </x:row>
    <x:row r="7">
      <x:c r="A7" s="41" t="str">
        <x:v>EV-06</x:v>
      </x:c>
      <x:c r="B7" s="41" t="str">
        <x:v>S06</x:v>
      </x:c>
      <x:c r="C7" s="41" t="str">
        <x:v>国家知识产权局案例发布</x:v>
      </x:c>
      <x:c r="D7" s="41" t="str">
        <x:v>https://www.cnipa.gov.cn/robots.txt</x:v>
      </x:c>
      <x:c r="E7" s="41" t="str">
        <x:v>robots 入口探测</x:v>
      </x:c>
      <x:c r="F7" s="41" t="str">
        <x:v>站点根目录 robots 入口</x:v>
      </x:c>
      <x:c r="G7" s="41" t="str">
        <x:v>当前受控环境无法连接，未取得规则正文</x:v>
      </x:c>
      <x:c r="H7" s="41" t="str">
        <x:v>V0</x:v>
      </x:c>
      <x:c r="I7" s="41" t="str">
        <x:v>2026-08-26</x:v>
      </x:c>
      <x:c r="J7" s="41" t="str">
        <x:v>未取得许可，不得运行。</x:v>
      </x:c>
    </x:row>
    <x:row r="8">
      <x:c r="A8" s="41" t="str">
        <x:v>EV-07</x:v>
      </x:c>
      <x:c r="B8" s="41" t="str">
        <x:v>S07</x:v>
      </x:c>
      <x:c r="C8" s="41" t="str">
        <x:v>最高人民法院</x:v>
      </x:c>
      <x:c r="D8" s="41" t="str">
        <x:v>https://www.court.gov.cn/robots.txt</x:v>
      </x:c>
      <x:c r="E8" s="41" t="str">
        <x:v>robots 入口探测</x:v>
      </x:c>
      <x:c r="F8" s="41" t="str">
        <x:v>站点根目录 robots 入口</x:v>
      </x:c>
      <x:c r="G8" s="41" t="str">
        <x:v>当前受控环境无法连接，未取得规则正文</x:v>
      </x:c>
      <x:c r="H8" s="41" t="str">
        <x:v>V0</x:v>
      </x:c>
      <x:c r="I8" s="41" t="str">
        <x:v>2026-08-26</x:v>
      </x:c>
      <x:c r="J8" s="41" t="str">
        <x:v>未取得许可，不得运行。</x:v>
      </x:c>
    </x:row>
    <x:row r="9">
      <x:c r="A9" s="41" t="str">
        <x:v>EV-08</x:v>
      </x:c>
      <x:c r="B9" s="41" t="str">
        <x:v>S08</x:v>
      </x:c>
      <x:c r="C9" s="41" t="str">
        <x:v>最高人民检察院</x:v>
      </x:c>
      <x:c r="D9" s="41" t="str">
        <x:v>https://www.spp.gov.cn/robots.txt</x:v>
      </x:c>
      <x:c r="E9" s="41" t="str">
        <x:v>robots 入口探测</x:v>
      </x:c>
      <x:c r="F9" s="41" t="str">
        <x:v>站点根目录 robots 入口</x:v>
      </x:c>
      <x:c r="G9" s="41" t="str">
        <x:v>当前受控环境无法连接，未取得规则正文</x:v>
      </x:c>
      <x:c r="H9" s="41" t="str">
        <x:v>V0</x:v>
      </x:c>
      <x:c r="I9" s="41" t="str">
        <x:v>2026-08-26</x:v>
      </x:c>
      <x:c r="J9" s="41" t="str">
        <x:v>未取得许可，不得运行。</x:v>
      </x:c>
    </x:row>
    <x:row r="10">
      <x:c r="A10" s="41" t="str">
        <x:v>EV-09</x:v>
      </x:c>
      <x:c r="B10" s="41" t="str">
        <x:v>S09</x:v>
      </x:c>
      <x:c r="C10" s="41" t="str">
        <x:v>UNESCO — Countering Hate Speech</x:v>
      </x:c>
      <x:c r="D10" s="41" t="str">
        <x:v>https://www.unesco.org/robots.txt</x:v>
      </x:c>
      <x:c r="E10" s="41" t="str">
        <x:v>robots 入口探测</x:v>
      </x:c>
      <x:c r="F10" s="41" t="str">
        <x:v>站点根目录 robots 入口</x:v>
      </x:c>
      <x:c r="G10" s="41" t="str">
        <x:v>当前受控环境无法连接，未取得规则正文</x:v>
      </x:c>
      <x:c r="H10" s="41" t="str">
        <x:v>V0</x:v>
      </x:c>
      <x:c r="I10" s="41" t="str">
        <x:v>2026-08-26</x:v>
      </x:c>
      <x:c r="J10" s="41" t="str">
        <x:v>未取得许可，不得运行。</x:v>
      </x:c>
    </x:row>
    <x:row r="11">
      <x:c r="A11" s="41" t="str">
        <x:v>EV-10</x:v>
      </x:c>
      <x:c r="B11" s="41" t="str">
        <x:v>S10</x:v>
      </x:c>
      <x:c r="C11" s="41" t="str">
        <x:v>U.S. FTC — Privacy and Security Enforcement</x:v>
      </x:c>
      <x:c r="D11" s="41" t="str">
        <x:v>https://www.ftc.gov/robots.txt</x:v>
      </x:c>
      <x:c r="E11" s="41" t="str">
        <x:v>robots 入口探测</x:v>
      </x:c>
      <x:c r="F11" s="41" t="str">
        <x:v>站点根目录 robots 入口</x:v>
      </x:c>
      <x:c r="G11" s="41" t="str">
        <x:v>当前受控环境无法连接，未取得规则正文</x:v>
      </x:c>
      <x:c r="H11" s="41" t="str">
        <x:v>V0</x:v>
      </x:c>
      <x:c r="I11" s="41" t="str">
        <x:v>2026-08-26</x:v>
      </x:c>
      <x:c r="J11" s="41" t="str">
        <x:v>未取得许可，不得运行。</x:v>
      </x:c>
    </x:row>
    <x:row r="12">
      <x:c r="A12" s="41" t="str">
        <x:v>EV-11</x:v>
      </x:c>
      <x:c r="B12" s="41" t="str">
        <x:v>S11</x:v>
      </x:c>
      <x:c r="C12" s="41" t="str">
        <x:v>WIPO — Intellectual Property Enforcement</x:v>
      </x:c>
      <x:c r="D12" s="41" t="str">
        <x:v>https://www.wipo.int/robots.txt</x:v>
      </x:c>
      <x:c r="E12" s="41" t="str">
        <x:v>robots 入口探测</x:v>
      </x:c>
      <x:c r="F12" s="41" t="str">
        <x:v>站点根目录 robots 入口</x:v>
      </x:c>
      <x:c r="G12" s="41" t="str">
        <x:v>当前受控环境无法连接，未取得规则正文</x:v>
      </x:c>
      <x:c r="H12" s="41" t="str">
        <x:v>V0</x:v>
      </x:c>
      <x:c r="I12" s="41" t="str">
        <x:v>2026-08-26</x:v>
      </x:c>
      <x:c r="J12" s="41" t="str">
        <x:v>未取得许可，不得运行。</x:v>
      </x:c>
    </x:row>
    <x:row r="13">
      <x:c r="A13" s="41" t="str">
        <x:v>EV-12</x:v>
      </x:c>
      <x:c r="B13" s="41" t="str">
        <x:v>S12</x:v>
      </x:c>
      <x:c r="C13" s="41" t="str">
        <x:v>European Commission — Antitrust and Cartel Case Open Data</x:v>
      </x:c>
      <x:c r="D13" s="41" t="str">
        <x:v>https://competition-policy.ec.europa.eu/robots.txt</x:v>
      </x:c>
      <x:c r="E13" s="41" t="str">
        <x:v>原网页入口探测</x:v>
      </x:c>
      <x:c r="F13" s="41" t="str">
        <x:v>原候选网页入口的 robots 探测</x:v>
      </x:c>
      <x:c r="G13" s="41" t="str">
        <x:v>当前受控环境无法连接；不以网页抓取方式启用</x:v>
      </x:c>
      <x:c r="H13" s="41" t="str">
        <x:v>V0</x:v>
      </x:c>
      <x:c r="I13" s="41" t="str">
        <x:v>2026-08-26</x:v>
      </x:c>
      <x:c r="J13" s="41" t="str">
        <x:v>仅作为切换到官方数据集前的历史核验记录。</x:v>
      </x:c>
    </x:row>
    <x:row r="14">
      <x:c r="A14" s="41" t="str">
        <x:v>EV-13</x:v>
      </x:c>
      <x:c r="B14" s="41" t="str">
        <x:v>S13</x:v>
      </x:c>
      <x:c r="C14" s="41" t="str">
        <x:v>World Health Organization — Disinformation and public health</x:v>
      </x:c>
      <x:c r="D14" s="41" t="str">
        <x:v>https://www.who.int/robots.txt</x:v>
      </x:c>
      <x:c r="E14" s="41" t="str">
        <x:v>robots 入口探测</x:v>
      </x:c>
      <x:c r="F14" s="41" t="str">
        <x:v>站点根目录 robots 入口</x:v>
      </x:c>
      <x:c r="G14" s="41" t="str">
        <x:v>当前受控环境无法连接，未取得规则正文</x:v>
      </x:c>
      <x:c r="H14" s="41" t="str">
        <x:v>V0</x:v>
      </x:c>
      <x:c r="I14" s="41" t="str">
        <x:v>2026-08-26</x:v>
      </x:c>
      <x:c r="J14" s="41" t="str">
        <x:v>未取得许可，不得运行。</x:v>
      </x:c>
    </x:row>
    <x:row r="15">
      <x:c r="A15" s="41" t="str">
        <x:v>EV-14</x:v>
      </x:c>
      <x:c r="B15" s="41" t="str">
        <x:v>S14</x:v>
      </x:c>
      <x:c r="C15" s="41" t="str">
        <x:v>UK ICO — Action we've taken</x:v>
      </x:c>
      <x:c r="D15" s="41" t="str">
        <x:v>https://ico.org.uk/robots.txt</x:v>
      </x:c>
      <x:c r="E15" s="41" t="str">
        <x:v>robots 入口探测</x:v>
      </x:c>
      <x:c r="F15" s="41" t="str">
        <x:v>站点根目录 robots 入口</x:v>
      </x:c>
      <x:c r="G15" s="41" t="str">
        <x:v>当前受控环境无法连接，未取得规则正文</x:v>
      </x:c>
      <x:c r="H15" s="41" t="str">
        <x:v>V0</x:v>
      </x:c>
      <x:c r="I15" s="41" t="str">
        <x:v>2026-08-26</x:v>
      </x:c>
      <x:c r="J15" s="41" t="str">
        <x:v>未取得许可，不得运行。</x:v>
      </x:c>
    </x:row>
    <x:row r="16">
      <x:c r="A16" s="41" t="str">
        <x:v>EV-15</x:v>
      </x:c>
      <x:c r="B16" s="41" t="str">
        <x:v>S15</x:v>
      </x:c>
      <x:c r="C16" s="41" t="str">
        <x:v>U.S. FTC — Mergers and Competition</x:v>
      </x:c>
      <x:c r="D16" s="41" t="str">
        <x:v>https://www.ftc.gov/robots.txt</x:v>
      </x:c>
      <x:c r="E16" s="41" t="str">
        <x:v>robots 入口探测</x:v>
      </x:c>
      <x:c r="F16" s="41" t="str">
        <x:v>站点根目录 robots 入口</x:v>
      </x:c>
      <x:c r="G16" s="41" t="str">
        <x:v>当前受控环境无法连接，未取得规则正文</x:v>
      </x:c>
      <x:c r="H16" s="41" t="str">
        <x:v>V0</x:v>
      </x:c>
      <x:c r="I16" s="41" t="str">
        <x:v>2026-08-26</x:v>
      </x:c>
      <x:c r="J16" s="41" t="str">
        <x:v>未取得许可，不得运行。</x:v>
      </x:c>
    </x:row>
    <x:row r="17">
      <x:c r="A17" s="41" t="str">
        <x:v>EV-16</x:v>
      </x:c>
      <x:c r="B17" s="41" t="str">
        <x:v>S03</x:v>
      </x:c>
      <x:c r="C17" s="41" t="str">
        <x:v>国家互联网信息办公室</x:v>
      </x:c>
      <x:c r="D17" s="41" t="str">
        <x:v>https://www.cac.gov.cn/2019-06/16/c_1124630015.htm</x:v>
      </x:c>
      <x:c r="E17" s="41" t="str">
        <x:v>公开核验方法依据</x:v>
      </x:c>
      <x:c r="F17" s="41" t="str">
        <x:v>robots、反爬技术措施与协议约定的核验口径</x:v>
      </x:c>
      <x:c r="G17" s="41" t="str">
        <x:v>说明 robots 与协议约定均需考虑；该页未授予本项目采集许可</x:v>
      </x:c>
      <x:c r="H17" s="41" t="str">
        <x:v>V0</x:v>
      </x:c>
      <x:c r="I17" s="41" t="str">
        <x:v>2026-08-26</x:v>
      </x:c>
      <x:c r="J17" s="41" t="str">
        <x:v>作为方法依据，不能启用来源。</x:v>
      </x:c>
    </x:row>
    <x:row r="18">
      <x:c r="A18" s="41" t="str">
        <x:v>EV-17</x:v>
      </x:c>
      <x:c r="B18" s="41" t="str">
        <x:v>S12</x:v>
      </x:c>
      <x:c r="C18" s="41" t="str">
        <x:v>European Commission — Antitrust and Cartel Case Open Data</x:v>
      </x:c>
      <x:c r="D18" s="41" t="str">
        <x:v>https://competition-policy.ec.europa.eu/about/news/dg-competitions-case-data-available-open-data-2025-03-18_en</x:v>
      </x:c>
      <x:c r="E18" s="41" t="str">
        <x:v>官方开放数据说明</x:v>
      </x:c>
      <x:c r="F18" s="41" t="str">
        <x:v>DG COMP 公开案件数据</x:v>
      </x:c>
      <x:c r="G18" s="41" t="str">
        <x:v>说明数据提供官方 JSON 分发，并按委员会 reuse notice 发布</x:v>
      </x:c>
      <x:c r="H18" s="41" t="str">
        <x:v>V3</x:v>
      </x:c>
      <x:c r="I18" s="41" t="str">
        <x:v>2026-08-26</x:v>
      </x:c>
      <x:c r="J18" s="41" t="str">
        <x:v>仅可按公开数据分发与归因规则使用。</x:v>
      </x:c>
    </x:row>
    <x:row r="19">
      <x:c r="A19" s="42" t="str">
        <x:v>EV-18</x:v>
      </x:c>
      <x:c r="B19" s="42" t="str">
        <x:v>S12</x:v>
      </x:c>
      <x:c r="C19" s="42" t="str">
        <x:v>European Commission — Antitrust and Cartel Case Open Data</x:v>
      </x:c>
      <x:c r="D19" s="42" t="str">
        <x:v>https://data.europa.eu/data/datasets/18489cb7-bce7-4d44-a138-795b390d2109~~1?locale=en</x:v>
      </x:c>
      <x:c r="E19" s="42" t="str">
        <x:v>官方数据集目录</x:v>
      </x:c>
      <x:c r="F19" s="42" t="str">
        <x:v>EU Competition: Antitrust and Cartel case publications</x:v>
      </x:c>
      <x:c r="G19" s="42" t="str">
        <x:v>目录标示公共访问，并提供 JSON 分发</x:v>
      </x:c>
      <x:c r="H19" s="42" t="str">
        <x:v>V3</x:v>
      </x:c>
      <x:c r="I19" s="42" t="str">
        <x:v>2026-08-26</x:v>
      </x:c>
      <x:c r="J19" s="42" t="str">
        <x:v>仅使用案件元数据；不抓取关联文书或附件。</x:v>
      </x:c>
    </x:row>
  </x:sheetData>
  <x:conditionalFormatting sqref="H2:H19">
    <x:cfRule type="containsText" dxfId="6" priority="1" operator="containsText" text="V0"/>
    <x:cfRule type="containsText" dxfId="7" priority="2" operator="containsText" text="V3"/>
  </x:conditionalFormatting>
  <x:dataValidations count="1">
    <x:dataValidation type="list" sqref="H2:H19">
      <x:formula1>"V0,V1,V2,V3"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e518d14d184a20"/>
  </x:tableParts>
</x:worksheet>
</file>